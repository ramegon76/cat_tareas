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365inegi.sharepoint.com/sites/dgiai/100_DGG_DGIAII/150_DAA_DGAI/Documentos compartidos/SAI/Agentes Copilot/Modelo de datos/03_Construccion_del_Modelo/Modelos de datos existentes/"/>
    </mc:Choice>
  </mc:AlternateContent>
  <xr:revisionPtr revIDLastSave="1" documentId="8_{5F58A2EE-F417-4BDB-921E-680B91775C65}" xr6:coauthVersionLast="47" xr6:coauthVersionMax="47" xr10:uidLastSave="{5BE852EA-7B62-49FA-AE44-94AC44DE87BA}"/>
  <bookViews>
    <workbookView xWindow="-103" yWindow="-103" windowWidth="33120" windowHeight="18000" xr2:uid="{EC74D597-25AD-4A3B-860F-0E055D3F99EB}"/>
  </bookViews>
  <sheets>
    <sheet name="Cat_Objetos" sheetId="1" r:id="rId1"/>
  </sheets>
  <externalReferences>
    <externalReference r:id="rId2"/>
  </externalReferences>
  <definedNames>
    <definedName name="_xlnm._FilterDatabase" localSheetId="0" hidden="1">Cat_Objetos!$A$3:$AI$346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Y346" i="1" l="1"/>
  <c r="Y345" i="1"/>
  <c r="Y344" i="1"/>
  <c r="Y343" i="1"/>
  <c r="Y342" i="1"/>
  <c r="Y341" i="1"/>
  <c r="Y340" i="1"/>
  <c r="Y339" i="1"/>
  <c r="Y338" i="1"/>
  <c r="Y337" i="1"/>
  <c r="Y336" i="1"/>
  <c r="Y335" i="1"/>
  <c r="Y334" i="1"/>
  <c r="Y333" i="1"/>
  <c r="Y332" i="1"/>
  <c r="Y331" i="1"/>
  <c r="Y330" i="1"/>
  <c r="Y329" i="1"/>
  <c r="Y328" i="1"/>
  <c r="Y327" i="1"/>
  <c r="Y326" i="1"/>
  <c r="Y325" i="1"/>
  <c r="Y324" i="1"/>
  <c r="Y323" i="1"/>
  <c r="Y322" i="1"/>
  <c r="Y321" i="1"/>
  <c r="Y320" i="1"/>
  <c r="Y319" i="1"/>
  <c r="Y318" i="1"/>
  <c r="Y317" i="1"/>
  <c r="Y316" i="1"/>
  <c r="Y315" i="1"/>
  <c r="Y314" i="1"/>
  <c r="Y313" i="1"/>
  <c r="Y312" i="1"/>
  <c r="Y311" i="1"/>
  <c r="Y310" i="1"/>
  <c r="Y309" i="1"/>
  <c r="Y308" i="1"/>
  <c r="Y307" i="1"/>
  <c r="Y306" i="1"/>
  <c r="Y305" i="1"/>
  <c r="Y304" i="1"/>
  <c r="Y303" i="1"/>
  <c r="Y302" i="1"/>
  <c r="Y301" i="1"/>
  <c r="Y300" i="1"/>
  <c r="Y299" i="1"/>
  <c r="Y298" i="1"/>
  <c r="Y297" i="1"/>
  <c r="Y296" i="1"/>
  <c r="Y295" i="1"/>
  <c r="Y294" i="1"/>
  <c r="Y293" i="1"/>
  <c r="Y292" i="1"/>
  <c r="Y291" i="1"/>
  <c r="Y290" i="1"/>
  <c r="Y289" i="1"/>
  <c r="Y288" i="1"/>
  <c r="Y287" i="1"/>
  <c r="Y286" i="1"/>
  <c r="Y285" i="1"/>
  <c r="Y284" i="1"/>
  <c r="Y283" i="1"/>
  <c r="Y282" i="1"/>
  <c r="Y281" i="1"/>
  <c r="Y280" i="1"/>
  <c r="Y279" i="1"/>
  <c r="Y278" i="1"/>
  <c r="Y277" i="1"/>
  <c r="Y276" i="1"/>
  <c r="Y275" i="1"/>
  <c r="Y274" i="1"/>
  <c r="Y273" i="1"/>
  <c r="Y272" i="1"/>
  <c r="Y271" i="1"/>
  <c r="Y270" i="1"/>
  <c r="Y269" i="1"/>
  <c r="Y268" i="1"/>
  <c r="Y267" i="1"/>
  <c r="Y266" i="1"/>
  <c r="Y265" i="1"/>
  <c r="Y264" i="1"/>
  <c r="Y263" i="1"/>
  <c r="Y262" i="1"/>
  <c r="Y261" i="1"/>
  <c r="Y260" i="1"/>
  <c r="Y259" i="1"/>
  <c r="Y258" i="1"/>
  <c r="Y257" i="1"/>
  <c r="Y256" i="1"/>
  <c r="Y255" i="1"/>
  <c r="Y254" i="1"/>
  <c r="Y253" i="1"/>
  <c r="Y252" i="1"/>
  <c r="Y251" i="1"/>
  <c r="Y250" i="1"/>
  <c r="Y249" i="1"/>
  <c r="Y248" i="1"/>
  <c r="Y247" i="1"/>
  <c r="Y246" i="1"/>
  <c r="Y245" i="1"/>
  <c r="Y244" i="1"/>
  <c r="Y243" i="1"/>
  <c r="Y242" i="1"/>
  <c r="Y241" i="1"/>
  <c r="Y240" i="1"/>
  <c r="Y239" i="1"/>
  <c r="Y238" i="1"/>
  <c r="Y237" i="1"/>
  <c r="Y236" i="1"/>
  <c r="Y235" i="1"/>
  <c r="Y234" i="1"/>
  <c r="Y233" i="1"/>
  <c r="Y232" i="1"/>
  <c r="Y231" i="1"/>
  <c r="Y230" i="1"/>
  <c r="Y229" i="1"/>
  <c r="Y228" i="1"/>
  <c r="Y227" i="1"/>
  <c r="Y226" i="1"/>
  <c r="Y225" i="1"/>
  <c r="Y224" i="1"/>
  <c r="Y223" i="1"/>
  <c r="Y222" i="1"/>
  <c r="Y221" i="1"/>
  <c r="Y220" i="1"/>
  <c r="Y219" i="1"/>
  <c r="Y218" i="1"/>
  <c r="Y217" i="1"/>
  <c r="Y216" i="1"/>
  <c r="Y215" i="1"/>
  <c r="Y214" i="1"/>
  <c r="Y213" i="1"/>
  <c r="Y212" i="1"/>
  <c r="Y211" i="1"/>
  <c r="Y210" i="1"/>
  <c r="Y209" i="1"/>
  <c r="Y208" i="1"/>
  <c r="Y207" i="1"/>
  <c r="Y206" i="1"/>
  <c r="Y205" i="1"/>
  <c r="Y204"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A11" i="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Y10" i="1"/>
  <c r="Y9" i="1"/>
  <c r="Y8" i="1"/>
  <c r="Y7" i="1"/>
  <c r="Y6" i="1"/>
  <c r="Y5" i="1"/>
  <c r="A5" i="1"/>
  <c r="A6" i="1" s="1"/>
  <c r="A7" i="1" s="1"/>
  <c r="A8" i="1" s="1"/>
  <c r="A9" i="1" s="1"/>
  <c r="A10" i="1" s="1"/>
  <c r="Y4" i="1"/>
</calcChain>
</file>

<file path=xl/sharedStrings.xml><?xml version="1.0" encoding="utf-8"?>
<sst xmlns="http://schemas.openxmlformats.org/spreadsheetml/2006/main" count="6188" uniqueCount="1607">
  <si>
    <t>Catálogo de Objetos de Información de Procesos de Producción</t>
  </si>
  <si>
    <t>Consecutivo</t>
  </si>
  <si>
    <t>Identificador del OI (ID_COI)</t>
  </si>
  <si>
    <t>Nombre del objeto de información (NAME_OI)</t>
  </si>
  <si>
    <t>Descripción del OI (DESCRIPTION_OI)</t>
  </si>
  <si>
    <r>
      <rPr>
        <sz val="11"/>
        <rFont val="Aptos Narrow"/>
        <family val="2"/>
        <scheme val="minor"/>
      </rPr>
      <t xml:space="preserve">Alineación del OI con el </t>
    </r>
    <r>
      <rPr>
        <b/>
        <sz val="11"/>
        <rFont val="Aptos Narrow"/>
        <family val="2"/>
        <scheme val="minor"/>
      </rPr>
      <t>Modelo del Proceso Estadístico y Geográfico (MPEG)</t>
    </r>
    <r>
      <rPr>
        <sz val="11"/>
        <rFont val="Aptos Narrow"/>
        <family val="2"/>
        <scheme val="minor"/>
      </rPr>
      <t xml:space="preserve"> donde se presenta por primera vez</t>
    </r>
  </si>
  <si>
    <r>
      <t xml:space="preserve">Método de generación de la información </t>
    </r>
    <r>
      <rPr>
        <sz val="11"/>
        <rFont val="Aptos Narrow"/>
        <family val="2"/>
        <scheme val="minor"/>
      </rPr>
      <t>en donde participa el OI</t>
    </r>
  </si>
  <si>
    <t>Referente (NT-MPEG/GDCE/GDME/FLA/DTMARA/LCO)</t>
  </si>
  <si>
    <t>Ocurrencia del OI (Ciclo)</t>
  </si>
  <si>
    <t>Clase GSIM</t>
  </si>
  <si>
    <t>Gen_PP</t>
  </si>
  <si>
    <t>Tipo de documento</t>
  </si>
  <si>
    <t>Procedencia del OI de OE</t>
  </si>
  <si>
    <t>Fase</t>
  </si>
  <si>
    <t>Nombre_Fase</t>
  </si>
  <si>
    <t>Clave_Actividad</t>
  </si>
  <si>
    <t>Nombre_Actividad</t>
  </si>
  <si>
    <t>Clave_Procedimiento</t>
  </si>
  <si>
    <t>Nombre_Procedimiento</t>
  </si>
  <si>
    <t>Clave_Tarea</t>
  </si>
  <si>
    <t>Nombre_Tarea</t>
  </si>
  <si>
    <t>Estadística derivada</t>
  </si>
  <si>
    <t>Censo</t>
  </si>
  <si>
    <t>Encuesta</t>
  </si>
  <si>
    <t>Proceso de generación de información geográfica y de recursos naturales</t>
  </si>
  <si>
    <t>Aprovechamiento de registros administrativos</t>
  </si>
  <si>
    <t>Valida</t>
  </si>
  <si>
    <t>1.1.1.1.1</t>
  </si>
  <si>
    <t>Planteamiento de necesidades de información</t>
  </si>
  <si>
    <t>Planteamiento de necesidades de información incluye modificaciones:
1. A partir de los requerimientos de UA, UE, CTE, CE o externos
2. A partir de la evaluación y cambios en el entorno</t>
  </si>
  <si>
    <t>Fase 1</t>
  </si>
  <si>
    <t>Documentación de necesidades</t>
  </si>
  <si>
    <t>1.1</t>
  </si>
  <si>
    <t>Detectar necesidades de información</t>
  </si>
  <si>
    <t>1.1.1</t>
  </si>
  <si>
    <t>Identificar nuevas necesidades de información o actualizar las mismas</t>
  </si>
  <si>
    <t>1.1.1.1</t>
  </si>
  <si>
    <t>Identificar requerimiento de inf. de UE o UA, Comités, Org. sociales, privadas o inter.</t>
  </si>
  <si>
    <t>X</t>
  </si>
  <si>
    <t>A11</t>
  </si>
  <si>
    <t>Current</t>
  </si>
  <si>
    <t>Statistical need</t>
  </si>
  <si>
    <t>Sí</t>
  </si>
  <si>
    <t>Documento</t>
  </si>
  <si>
    <t>1.1.1.2.1</t>
  </si>
  <si>
    <t>Listado de normatividad aplicable</t>
  </si>
  <si>
    <t>1.1.1.2</t>
  </si>
  <si>
    <t>Determinar las disposiciones normativas aplicables</t>
  </si>
  <si>
    <t>A12,FI,Ia2</t>
  </si>
  <si>
    <t>Reference document</t>
  </si>
  <si>
    <t>1.1.1.3.1</t>
  </si>
  <si>
    <t>Población, cobertura y otras especificaciones</t>
  </si>
  <si>
    <t>Población, cobertura y otras especificaciones, incluye: 
1. Temática de la información a generar
2. Población, territorio o fenómeno objeto de estudio, los dominios de estudio
3. Cobertura y desglose geográfico
4. Referencia temporal
5. Periodicidad de la captación de datos 
6. Otras desagregaciones relevantes</t>
  </si>
  <si>
    <t>1.1.1.3</t>
  </si>
  <si>
    <t>Establecer las especificaciones de la información a generar</t>
  </si>
  <si>
    <t>A12,FI,Ia3</t>
  </si>
  <si>
    <t>Population, Subject field, Unit, Concept</t>
  </si>
  <si>
    <t>1.1.1.4.1</t>
  </si>
  <si>
    <t>Planteamiento del objetivo y uso previsto de la información</t>
  </si>
  <si>
    <t>1.1.1.4</t>
  </si>
  <si>
    <t>Identificar el objetivo y uso previsto de la información</t>
  </si>
  <si>
    <t>A12,FI,Ia4</t>
  </si>
  <si>
    <t>Business case</t>
  </si>
  <si>
    <t>1.1.1.5.1</t>
  </si>
  <si>
    <t>Documentación de temas, variables, conceptos, y desagregaciones de interés</t>
  </si>
  <si>
    <t>1.1.1.5</t>
  </si>
  <si>
    <t>Definir conceptos a representar o medir</t>
  </si>
  <si>
    <t>A12,FI,Ia3; FLA 1.2</t>
  </si>
  <si>
    <t>Change definition</t>
  </si>
  <si>
    <t>1.1.2.3.1</t>
  </si>
  <si>
    <r>
      <t xml:space="preserve">Evaluación de fuentes </t>
    </r>
    <r>
      <rPr>
        <sz val="11"/>
        <color rgb="FFFF0000"/>
        <rFont val="Aptos Narrow"/>
        <family val="2"/>
        <scheme val="minor"/>
      </rPr>
      <t>de información</t>
    </r>
  </si>
  <si>
    <t>1.1.2</t>
  </si>
  <si>
    <t>Realizar la comprobación de la disponibilidad de datos</t>
  </si>
  <si>
    <t>1.1.2.3</t>
  </si>
  <si>
    <t>Comprobar la disponibilidad de fuente</t>
  </si>
  <si>
    <t>A12,FI,Ib1</t>
  </si>
  <si>
    <t>Assessment</t>
  </si>
  <si>
    <t>1.1.3.1.1</t>
  </si>
  <si>
    <t>Documento de detección de necesidades estructuradas de información</t>
  </si>
  <si>
    <t>Documento de detección de necesidades estructuradas de información, incluye:
1. Evaluación de fuentes que satisfagan la necesidad de información
2. Listado de normatividad aplicable
3. Población, cobertura y otras especificaciones
4. Planteamiento del objetivo y uso previsto de la información
5. Documentación de temas, variables, conceptos, y desagregaciones de interés (conceptos a medir)</t>
  </si>
  <si>
    <t>1.1.3</t>
  </si>
  <si>
    <t>Elaborar o actualizar el documento de necesidades estructuradas de información</t>
  </si>
  <si>
    <t>1.1.3.1</t>
  </si>
  <si>
    <t>Integrar o actualizar el documento de necesidades estructuradas de información</t>
  </si>
  <si>
    <t>A12,FIV</t>
  </si>
  <si>
    <t>1.2.1.1.1</t>
  </si>
  <si>
    <t>Calendario con la programación del proceso</t>
  </si>
  <si>
    <t>Calendario con la programación del proceso, incluye una lista de actividades a ejecutar y participantes</t>
  </si>
  <si>
    <t>1.2</t>
  </si>
  <si>
    <t>Elaborar el plan de viabilidad técnica y económica</t>
  </si>
  <si>
    <t>1.2.1</t>
  </si>
  <si>
    <t>Determinar la programación del presupuesto y costos</t>
  </si>
  <si>
    <t>1.2.1.1</t>
  </si>
  <si>
    <t>Elaborar el calendario de la ejecución del proceso de producción</t>
  </si>
  <si>
    <t>A12,FII,Ia</t>
  </si>
  <si>
    <t>Administrative details</t>
  </si>
  <si>
    <t>1.2.1.2.1</t>
  </si>
  <si>
    <t>Presupuesto y costos</t>
  </si>
  <si>
    <t>1.2.1.2</t>
  </si>
  <si>
    <t>Elaborar el programa presupuestal y de costos</t>
  </si>
  <si>
    <t>A12,FII,Ib</t>
  </si>
  <si>
    <t>1.2.1.3.1</t>
  </si>
  <si>
    <t>Especificación de necesidades de recursos humanos</t>
  </si>
  <si>
    <t>Especificación de necesidades de recursos humanos, puede incluir:
1. Alcance del proyecto
2. Análisis de necesidades y perfiles del personal
3. Esquema de roles y responsabilidades
4. Estimación de cargas de trabajo</t>
  </si>
  <si>
    <t>1.2.1.3</t>
  </si>
  <si>
    <t>Identificar las necesidades de recursos humanos</t>
  </si>
  <si>
    <t>A12,FII,Ic</t>
  </si>
  <si>
    <t>1.2.1.4.1</t>
  </si>
  <si>
    <t>Especificación de necesidades de recursos materiales</t>
  </si>
  <si>
    <t>1.2.1.4</t>
  </si>
  <si>
    <t>Identificar las necesidades de recursos materiales</t>
  </si>
  <si>
    <t>1.2.2.1.1</t>
  </si>
  <si>
    <t>Plan de viabilidad técnica y económica</t>
  </si>
  <si>
    <t>Plan de viabilidad técnica y económica, contiene los siguientes apartados:
1. Programación de eventos
2. Presupuesto y costos
3. Recursos humanos y materiales</t>
  </si>
  <si>
    <t>1.2.2</t>
  </si>
  <si>
    <t>1.2.2.1</t>
  </si>
  <si>
    <t>Definir el plan de viabilidad técnica y económica</t>
  </si>
  <si>
    <t>A12,FII</t>
  </si>
  <si>
    <t>1.3.1.1.1</t>
  </si>
  <si>
    <t>Presentación de propuesta de nuevas necesidades de información para los CTE, CE o CCN</t>
  </si>
  <si>
    <t>1.3</t>
  </si>
  <si>
    <t>Gestionar las necesidades de información en los CTE, CE o CCN</t>
  </si>
  <si>
    <t>1.3.1</t>
  </si>
  <si>
    <t>Realizar la gestión de las necesidades de información en los CTE, CE o CCN</t>
  </si>
  <si>
    <t>1.3.1.1</t>
  </si>
  <si>
    <t>Dar seguimiento a la propuesta de nuevas necesidades de información para los CTE, CE o CCN</t>
  </si>
  <si>
    <t>A12,FIII</t>
  </si>
  <si>
    <t>1.3.1.2.1</t>
  </si>
  <si>
    <t>Listados de los CTE, CE o CCN</t>
  </si>
  <si>
    <t>1.3.1.2</t>
  </si>
  <si>
    <t>Elaborar el listado de los CTE, CE o CCN, en los que se gestionó la información</t>
  </si>
  <si>
    <t>1.3.1.3.1</t>
  </si>
  <si>
    <t>Copia de actas o minutas de las sesiones de los CTE, CE o CCN sobre nuevas necesidades</t>
  </si>
  <si>
    <t>1.3.1.3</t>
  </si>
  <si>
    <t>Integrar copia de actas o minutas de las sesiones en las que se dictaminaron las necesidades</t>
  </si>
  <si>
    <t>1.4.1.2.1</t>
  </si>
  <si>
    <t>Matriz de relación de conceptos entre necesidades y requirentes</t>
  </si>
  <si>
    <t>1.4</t>
  </si>
  <si>
    <t>Generar la matriz de relación entre conceptos</t>
  </si>
  <si>
    <t>1.4.1</t>
  </si>
  <si>
    <t>Analizar la relación entre los conceptos de necesidades de inf. y los planteados por UE o UA</t>
  </si>
  <si>
    <t>1.4.1.2</t>
  </si>
  <si>
    <t>Establecer relación entre los conceptos de necesidades de inf. y los planteados por UE o UA</t>
  </si>
  <si>
    <t>Concept system</t>
  </si>
  <si>
    <t>1.5.1.1.1</t>
  </si>
  <si>
    <t>Lista de conceptos y desagregaciones de interés</t>
  </si>
  <si>
    <t>1.5</t>
  </si>
  <si>
    <t>Integrar lista de conceptos y desagregaciones de interés</t>
  </si>
  <si>
    <t>1.5.1</t>
  </si>
  <si>
    <t>Identificar los conceptos y desagregaciones de interés</t>
  </si>
  <si>
    <t>1.5.1.1</t>
  </si>
  <si>
    <t>Elaborar la lista de conceptos y desagregaciones de interés</t>
  </si>
  <si>
    <t>A12,FV</t>
  </si>
  <si>
    <t>1.5.1.2.1</t>
  </si>
  <si>
    <t>Matriz de relación entre necesidades de información con objetivos o estrategias del PND y otros</t>
  </si>
  <si>
    <t>1.5.1.2</t>
  </si>
  <si>
    <t>Elaborar matriz de relación entre necesidades de inf. con obj. o estrategias del PND y SNIEG</t>
  </si>
  <si>
    <t>1.6.1.1.1</t>
  </si>
  <si>
    <t>Listado de datos insumo</t>
  </si>
  <si>
    <t>1.6</t>
  </si>
  <si>
    <t>Elaborar listado de datos insumo para la generación de inf. e instr. jurídicos que la soportan</t>
  </si>
  <si>
    <t>1.6.1</t>
  </si>
  <si>
    <t>Determinar los datos para la generación de información y el soporte jurídico para su acceso</t>
  </si>
  <si>
    <t>1.6.1.1</t>
  </si>
  <si>
    <t>Integrar listado de datos que se utilizarán como insumo para la generación de información</t>
  </si>
  <si>
    <t>A12,FVI</t>
  </si>
  <si>
    <t>Reference document, Data resource (Lista de)</t>
  </si>
  <si>
    <t>1.6.1.2.1</t>
  </si>
  <si>
    <t>Listado de datos insumo y soporte jurídico para su acceso</t>
  </si>
  <si>
    <t>1.6.1.2</t>
  </si>
  <si>
    <t>Integrar los instrumentos jurídicos que soportan el acceso a los datos insumo</t>
  </si>
  <si>
    <t>1.7.1.1.1</t>
  </si>
  <si>
    <r>
      <t xml:space="preserve">Listado de los procesos de producción con </t>
    </r>
    <r>
      <rPr>
        <sz val="11"/>
        <color rgb="FFFF0000"/>
        <rFont val="Aptos Narrow"/>
        <family val="2"/>
        <scheme val="minor"/>
      </rPr>
      <t>conceptos equivalentes</t>
    </r>
  </si>
  <si>
    <t>1.7</t>
  </si>
  <si>
    <t>Elaborar listado de prog. que captan información de conceptos equivalentes y su justificación</t>
  </si>
  <si>
    <t xml:space="preserve">1.7.1 </t>
  </si>
  <si>
    <t>Identificar los prog. que captan información de conceptos equivalentes y su justif.</t>
  </si>
  <si>
    <t>1.7.1.1</t>
  </si>
  <si>
    <t>Integrar el listado de programas que captan información representando conceptos equivalentes</t>
  </si>
  <si>
    <t>A12,FVII</t>
  </si>
  <si>
    <t>1.7.1.2.1</t>
  </si>
  <si>
    <t>Justificación del proceso de producción</t>
  </si>
  <si>
    <t>1.7.1.2</t>
  </si>
  <si>
    <t>Determinar las justificaciones que hacen necesaria la generación de la información</t>
  </si>
  <si>
    <t>2.1.1.1.1</t>
  </si>
  <si>
    <t>Informe de la normatividad relacionada</t>
  </si>
  <si>
    <t>Fase 2</t>
  </si>
  <si>
    <t>Diseño</t>
  </si>
  <si>
    <t>2.1</t>
  </si>
  <si>
    <t>Elaborar el diseño conceptual y de productos de difusión</t>
  </si>
  <si>
    <t>2.1.1</t>
  </si>
  <si>
    <t>Realizar la investigación documental</t>
  </si>
  <si>
    <t>2.1.1.1</t>
  </si>
  <si>
    <t>Revisar normatividad relacionada</t>
  </si>
  <si>
    <t>A15,FI,Ia; GDCE 1.1</t>
  </si>
  <si>
    <t>2.1.1.2.1</t>
  </si>
  <si>
    <t>Coincidencias con los planes y programas gubernamentales</t>
  </si>
  <si>
    <t>2.1.1.2</t>
  </si>
  <si>
    <t>Revisar planes y programas gubernamentales</t>
  </si>
  <si>
    <t>A15,FI,Ia; GDCE 1.2</t>
  </si>
  <si>
    <t>2.1.1.3.1</t>
  </si>
  <si>
    <t>Contribuciones metodológicas aplicables</t>
  </si>
  <si>
    <t>Contribuciones metodológicas aplicables de recomendaciones internacionales y procesos de producción similares.
Incluye la revisión del plan de acción de la evaluación del proceso de ciclo anterior</t>
  </si>
  <si>
    <t>2.1.1.3</t>
  </si>
  <si>
    <t>Revisar recomendaciones internacionales y procesos de producción similares</t>
  </si>
  <si>
    <t>A15,FI,Ia; GDCE 1.3</t>
  </si>
  <si>
    <t>2.1.1.7.1</t>
  </si>
  <si>
    <t>Propuesta de cambios preliminar</t>
  </si>
  <si>
    <t>2.1.1.7</t>
  </si>
  <si>
    <t>Elaborar propuesta de cambios</t>
  </si>
  <si>
    <t>2.1.1.8.1</t>
  </si>
  <si>
    <t>Resultados de la prueba cognitiva y estadística</t>
  </si>
  <si>
    <t>2.1.1.8</t>
  </si>
  <si>
    <t>Realizar prueba cognitiva y estadística</t>
  </si>
  <si>
    <t>2.1.1.9.1</t>
  </si>
  <si>
    <t>Propuesta de cambios para consulta pública</t>
  </si>
  <si>
    <t>2.1.1.9</t>
  </si>
  <si>
    <t>Ajustar propuesta de cambios</t>
  </si>
  <si>
    <t>2.1.1.10.1</t>
  </si>
  <si>
    <t>Datos de la consulta pública</t>
  </si>
  <si>
    <t>2.1.1.10</t>
  </si>
  <si>
    <t>Ejecutar la consulta pública</t>
  </si>
  <si>
    <t>2.1.1.11.1</t>
  </si>
  <si>
    <t>Reporte de resultados de la consulta pública</t>
  </si>
  <si>
    <t>2.1.1.11</t>
  </si>
  <si>
    <t>Analizar resultados de la consulta pública y documentar conceptos y desagregaciones</t>
  </si>
  <si>
    <t>2.1.1.12.1</t>
  </si>
  <si>
    <t>Reporte de resultados de la investigación documental</t>
  </si>
  <si>
    <t>Reporte de resultados de la investigación documental, conformado por los siguientes elementos, según apliquen:
1. Introducción sobre el Programa de Información
   a. Objetivo general.
   b. Justificación.
   c. Marco legal vigente referente a la temática.
2. Recomendaciones internacionales
   a. Referencias.
   b. Conceptos y definiciones sugeridas.
   c. Metodología recomendada para su captación.
3. Antecedentes y situación actual sobre la producción estadística del tema en el país
   a. Fuentes nacionales que anteriormente han captado información sobre el fenómeno de interés; así como la idoneidad y factibilidad de los distintos conceptos según el método de captación. Universo de análisis, variables, clasificaciones, sus definiciones e indicadores básicos.
   b. Principales dependencias productoras de estadística relacionadas al tema del programa y el método de captación; universo de análisis, variables y clasificaciones que utilizan o que requieran para ampliar su explotación; indicadores básicos y subtemas empleados para organizar la información estadística del tema.
   c. Recomendaciones de evaluaciones internas y externas que se retomaron para mejorar el Diseño Conceptual del Programa de Información, así como la justificación de las recomendaciones derivadas de las evaluaciones internas que no se incorporaron.
4. Planteamientos teórico-metodológicos
   a. Presentación breve y concisa de los principales esquemas o modelos explicativos, así como de marcos teóricos, en los cuales se identifiquen los conceptos involucrados en la generación de información estadística de los temas que trate el Programa de Información.</t>
  </si>
  <si>
    <t>2.1.1.12</t>
  </si>
  <si>
    <t>Elaborar el reporte de resultados de la investigación documental</t>
  </si>
  <si>
    <t>A15,F1,Ia; GDCE 1.6</t>
  </si>
  <si>
    <t>2.1.2.3.1</t>
  </si>
  <si>
    <t>Selección de la infraestructura de información utilizable</t>
  </si>
  <si>
    <t>Para la selección de la infraestructura de información utilizable, se usa el catálogo, clasificador o lista de códigos aplicables a la(s) variable(s) que se codifica(n)</t>
  </si>
  <si>
    <t>2.1.2</t>
  </si>
  <si>
    <t>Determinar el marco conceptual y el uso de la infraestructura de información</t>
  </si>
  <si>
    <t>2.1.2.3</t>
  </si>
  <si>
    <t>Determinar el uso de la infraestructura de información</t>
  </si>
  <si>
    <t>A14,FI,Ib; GDCE 2.3</t>
  </si>
  <si>
    <t>2.1.2.4.1</t>
  </si>
  <si>
    <t>Esquema de temas, variables y categorías</t>
  </si>
  <si>
    <t>Esquema de temas, variables y categorías en conjunto con el Esquema de indicadores objetivo conforman el Esquema conceptual</t>
  </si>
  <si>
    <t>2.1.2.4</t>
  </si>
  <si>
    <t>Elaborar el esquema conceptual y glosario</t>
  </si>
  <si>
    <t>A15,FI,Ib; GDCE 2.4.1</t>
  </si>
  <si>
    <t>2.1.2.4.2</t>
  </si>
  <si>
    <t>Glosario</t>
  </si>
  <si>
    <t>A15,FI,Ic; GDCE 2.4.2</t>
  </si>
  <si>
    <t>Conceptual domain</t>
  </si>
  <si>
    <t>2.1.2.4.3</t>
  </si>
  <si>
    <t>Esquema de indicadores objetivo</t>
  </si>
  <si>
    <t>Esquema de indicadores objetivo en conjunto con el Esquema de temas, variables y categorías conforman el Esquema conceptual</t>
  </si>
  <si>
    <t>2.1.2.5.1</t>
  </si>
  <si>
    <t>Marco conceptual</t>
  </si>
  <si>
    <t>2.1.2.5</t>
  </si>
  <si>
    <t>Integrar el marco conceptual</t>
  </si>
  <si>
    <t>A15,FI,Ib,A15,FI,Ic; GDCE 2.2, GDCE 2.4</t>
  </si>
  <si>
    <t>2.1.3.1.1</t>
  </si>
  <si>
    <t>Metadatos referenciales del proceso de producción</t>
  </si>
  <si>
    <t>Metadatos referenciales del proceso de producción. Plantilla estandarizada y sistematizada de la documentación del proceso de producción generada, en formato Word, a través del Sistema Integrador de Metadatos (SIM).</t>
  </si>
  <si>
    <t>2.1.3</t>
  </si>
  <si>
    <t>Especificar metadatos</t>
  </si>
  <si>
    <t>2.1.3.1</t>
  </si>
  <si>
    <t>Elaborar metadatos referenciales del proceso de producción</t>
  </si>
  <si>
    <t>A15,FI,Ie; GDCE 3.1</t>
  </si>
  <si>
    <t>Referential metadata set</t>
  </si>
  <si>
    <t>2.1.3.2.1</t>
  </si>
  <si>
    <t>Modelo de base de datos para la captación</t>
  </si>
  <si>
    <t>2.1.3.2</t>
  </si>
  <si>
    <t>Elaborar el diccionario de datos</t>
  </si>
  <si>
    <t>A15,FI,Id; GDCE 3.2</t>
  </si>
  <si>
    <t>Data structure</t>
  </si>
  <si>
    <t>Conjunto de datos</t>
  </si>
  <si>
    <t>2.1.3.2.2</t>
  </si>
  <si>
    <t>Diccionario de datos</t>
  </si>
  <si>
    <t>2.1.4.1.1</t>
  </si>
  <si>
    <t>Lista de presentaciones genéricas y especializadas</t>
  </si>
  <si>
    <t>Lista de presentaciones genéricas y especializadas, comprende:
1. Documento metodológico*
2. Instrumentos de captación*
3. Catálogos o clasificadores
4. Indicadores objetivo para el BISE*
5. Glosario 
6. Metadatos (RNM)*
7. Descriptor de archivos (FD)
8. Información general:
       - Gráficas
       - Cuadros estadísticos
       - Mapas
9. Tabulados predefinidos* 
10. Tabulados interactivos
11. Base de datos con controles de difusión *
12. Microdatos 
13. Datos abiertos*
* Presentaciones obligatorias.</t>
  </si>
  <si>
    <t>2.1.4</t>
  </si>
  <si>
    <t>Diseñar los productos de información y sus presentaciones</t>
  </si>
  <si>
    <t>2.1.4.1</t>
  </si>
  <si>
    <t>Determinar las presentaciones para la difusión de resultados</t>
  </si>
  <si>
    <t>A15,FI,If; GDCE 4.1</t>
  </si>
  <si>
    <t>Presentation</t>
  </si>
  <si>
    <t>2.1.4.2.1</t>
  </si>
  <si>
    <t>Diseño de productos de información y sus presentaciones</t>
  </si>
  <si>
    <t>2.1.4.2</t>
  </si>
  <si>
    <t>Determinar los contenidos por tipo de presentación</t>
  </si>
  <si>
    <t>A15,FI,If; GDCE 4.2</t>
  </si>
  <si>
    <t>2.2.1.1.1</t>
  </si>
  <si>
    <r>
      <t xml:space="preserve">Diseño de plataformas informáticas, componentes, app. y </t>
    </r>
    <r>
      <rPr>
        <sz val="11"/>
        <color rgb="FFFF0000"/>
        <rFont val="Aptos Narrow"/>
        <family val="2"/>
        <scheme val="minor"/>
      </rPr>
      <t>serv.</t>
    </r>
    <r>
      <rPr>
        <sz val="11"/>
        <rFont val="Aptos Narrow"/>
        <family val="2"/>
        <scheme val="minor"/>
      </rPr>
      <t xml:space="preserve"> de soft. de captación</t>
    </r>
  </si>
  <si>
    <t>Diseño de plataformas informáticas, componentes, app. y servicios de soft. de captación, incluye el diseño de pruebas funcionales</t>
  </si>
  <si>
    <t xml:space="preserve">Diseñar las plataformas informáticas y flujos de trabajo </t>
  </si>
  <si>
    <t>2.2.1</t>
  </si>
  <si>
    <t>Diseñar plataformas informáticas, componentes, aplicaciones y servicios de software</t>
  </si>
  <si>
    <t>2.2.1.1</t>
  </si>
  <si>
    <t>Diseñar plataformas informáticas, componentes, app. y serv. de software para la captación</t>
  </si>
  <si>
    <t>A15,FII</t>
  </si>
  <si>
    <t>Process method</t>
  </si>
  <si>
    <t>2.2.1.2.1</t>
  </si>
  <si>
    <t>Diseño de plataformas inform., componentes, app. y serv. de soft. para difusión</t>
  </si>
  <si>
    <t>Diseño de plataformas inform., componentes, app. y serv. de soft. para difusión, incluye el diseño de pruebas funcionales</t>
  </si>
  <si>
    <t>2.2</t>
  </si>
  <si>
    <t>2.2.1.2</t>
  </si>
  <si>
    <t>Diseñar plataformas informáticas, componentes, app. y serv. de software para la difusión</t>
  </si>
  <si>
    <t>2.2.1.3.1</t>
  </si>
  <si>
    <t>Diseño de plataformas informáticas, comp., app. y serv. de soft. para procesamiento</t>
  </si>
  <si>
    <t>Diseño de plataformas informáticas, comp., app. y serv. de soft. para procesamiento, contiene las especificaciones del diseño de componentes, aplicaciones o servicios de software para:
1. Integración de datos
2. Codificación
3. Validación
4. Edición e imputación
5. Creación de nuevas variables o unidades
6. Cálculo de agregaciones y medidas estadísticas
7. Cálculo de ponderadores</t>
  </si>
  <si>
    <t>2.2.1.3</t>
  </si>
  <si>
    <t>Diseñar plataformas informáticas, componentes, app. y serv. de software para procesamiento</t>
  </si>
  <si>
    <t>NA</t>
  </si>
  <si>
    <t>2.2.1.4.1</t>
  </si>
  <si>
    <t>Diseño de plataformas inform., comp., app. y serv. soft. para análisis de prod.</t>
  </si>
  <si>
    <t>2.2.1.4</t>
  </si>
  <si>
    <t>Diseñar plataformas inform., comp., app. y serv. de soft. para análisis de la producción</t>
  </si>
  <si>
    <t>2.2.1.5.1</t>
  </si>
  <si>
    <t xml:space="preserve">Diseño de plataformas inform., comp., app. y serv. soft. de la integración de datos </t>
  </si>
  <si>
    <t>2.2.1.5</t>
  </si>
  <si>
    <t>Diseñar plataformas informáticas, componentes, app. y serv. de software para la integración</t>
  </si>
  <si>
    <t>2.2.1.6.1</t>
  </si>
  <si>
    <t>Diseño de plat. inform., comp., app. y serv. soft. para cálc. y calibración de pond.</t>
  </si>
  <si>
    <t>2.2.1.6</t>
  </si>
  <si>
    <t>Diseñar plat. inform., comp., app. y serv. de soft. para cálc. y calibración de ponderadores</t>
  </si>
  <si>
    <t>2.2.1.7.1</t>
  </si>
  <si>
    <t>Diseño de plataformas inform., comp., app. y serv. soft. para codificar datos</t>
  </si>
  <si>
    <t>2.2.1.7</t>
  </si>
  <si>
    <t>Diseñar plataformas informáticas, componentes, app. y serv. de software para la codificación</t>
  </si>
  <si>
    <t>2.2.1.8.1</t>
  </si>
  <si>
    <t>Diseño de plataformas inform., comp., app. y serv. soft. para la validación</t>
  </si>
  <si>
    <t>2.2.1.8</t>
  </si>
  <si>
    <t>Diseñar plataformas informáticas, comp., app. y serv. de software para la validación</t>
  </si>
  <si>
    <t>2.2.1.9.1</t>
  </si>
  <si>
    <t>Diseño de plataformas inform., comp., app. y serv. soft. de edición e imputación</t>
  </si>
  <si>
    <t>2.2.1.9</t>
  </si>
  <si>
    <t>Diseñar plataformas informáticas, comp., app. y serv. de software para edición e imputación</t>
  </si>
  <si>
    <t>2.2.1.10.1</t>
  </si>
  <si>
    <t>Diseño de plat. inform., comp., app. y serv. soft. para nuevas variables o unidades</t>
  </si>
  <si>
    <t>2.2.1.10</t>
  </si>
  <si>
    <t>Diseñar plat. inform., comp., app. y serv. soft. de creación de nuevas variables o unidades</t>
  </si>
  <si>
    <t>2.2.1.11.1</t>
  </si>
  <si>
    <t xml:space="preserve">Diseño de plat. inform., comp., app. y serv. soft. para agregaciones y medidas est. </t>
  </si>
  <si>
    <t>2.2.1.11</t>
  </si>
  <si>
    <t>Diseñar plat. inform., comp., app. y serv. soft. para agregaciones y medidas est.</t>
  </si>
  <si>
    <t>2.2.2.1.1</t>
  </si>
  <si>
    <t>Diseño de flujo de trabajo (MPP)</t>
  </si>
  <si>
    <t>2.2.2</t>
  </si>
  <si>
    <t>Diseñar flujos de trabajo</t>
  </si>
  <si>
    <t>2.2.2.1</t>
  </si>
  <si>
    <t>Elaborar el diseño del flujo de trabajo</t>
  </si>
  <si>
    <t>A15,FII.Ia A18,FI; DTMARA A3.1</t>
  </si>
  <si>
    <t>Process control design</t>
  </si>
  <si>
    <t>2.2.2.2.1</t>
  </si>
  <si>
    <t>Diseño de plataformas informáticas, componentes, app. y serv. de software del flujo de trabajo</t>
  </si>
  <si>
    <t>2.2.2.2</t>
  </si>
  <si>
    <t>Diseñar plataformas informáticas, componentes, app. y serv. de software del flujo de trabajo</t>
  </si>
  <si>
    <t>2.3.1.1.1</t>
  </si>
  <si>
    <t>Esquema del flujo del cuestionario</t>
  </si>
  <si>
    <t>2.3</t>
  </si>
  <si>
    <t>Realizar el diseño de la captación</t>
  </si>
  <si>
    <t>2.3.1</t>
  </si>
  <si>
    <t>Diseñar y probar el cuestionario para la captación</t>
  </si>
  <si>
    <t>2.3.1.1</t>
  </si>
  <si>
    <t>Plantear o ajustar la estructura y secuencia temática</t>
  </si>
  <si>
    <t>A15,FIII,Ia</t>
  </si>
  <si>
    <t>Questionnaire logic, Questionnaire specification</t>
  </si>
  <si>
    <t>2.3.1.2.1</t>
  </si>
  <si>
    <t>Cuestionario</t>
  </si>
  <si>
    <t>2.3.1.2</t>
  </si>
  <si>
    <t>Elaborar o ajustar el cuestionario</t>
  </si>
  <si>
    <t>Questionnaire, Statement</t>
  </si>
  <si>
    <t>2.3.1.2.2</t>
  </si>
  <si>
    <t>Guías de observación</t>
  </si>
  <si>
    <t>2.3.1.2.3</t>
  </si>
  <si>
    <t>Bitácora de cambios al cuestionario</t>
  </si>
  <si>
    <t>Process execution log</t>
  </si>
  <si>
    <t>2.3.1.3.1</t>
  </si>
  <si>
    <t>Resultado de las pruebas</t>
  </si>
  <si>
    <t>2.3.1.3</t>
  </si>
  <si>
    <t>Realizar las pruebas de factibilidad operativa del cuestionario</t>
  </si>
  <si>
    <t>2.3.1.5.1</t>
  </si>
  <si>
    <r>
      <rPr>
        <sz val="11"/>
        <color rgb="FFFF0000"/>
        <rFont val="Aptos Narrow"/>
        <family val="2"/>
        <scheme val="minor"/>
      </rPr>
      <t>Instrumento</t>
    </r>
    <r>
      <rPr>
        <sz val="11"/>
        <rFont val="Aptos Narrow"/>
        <family val="2"/>
        <scheme val="minor"/>
      </rPr>
      <t xml:space="preserve"> de evaluación cognitiva</t>
    </r>
  </si>
  <si>
    <t>2.3.1.5</t>
  </si>
  <si>
    <t>Elaborar un instrumento de evaluación del cuestionario</t>
  </si>
  <si>
    <t>2.3.1.6.1</t>
  </si>
  <si>
    <t>Documento soporte de la congruencia, homogeneidad y comparabilidad de los datos captados</t>
  </si>
  <si>
    <t>2.3.1.6</t>
  </si>
  <si>
    <t>Determinar la congruencia, así como homogeneidad y comparabilidad de los datos captados</t>
  </si>
  <si>
    <t>2.3.2.1.1</t>
  </si>
  <si>
    <t>Definición de canales y protocolos de captación</t>
  </si>
  <si>
    <t>2.3.2</t>
  </si>
  <si>
    <t>Diseñar criterios de validación para la captación</t>
  </si>
  <si>
    <t>2.3.2.1</t>
  </si>
  <si>
    <t>Diseñar canales y protocolos de captación</t>
  </si>
  <si>
    <t>Statement</t>
  </si>
  <si>
    <t>2.3.2.2.1</t>
  </si>
  <si>
    <t>Criterios de validación de campo</t>
  </si>
  <si>
    <t>2.3.2.2</t>
  </si>
  <si>
    <t>Elaborar los criterios de validación de la captación</t>
  </si>
  <si>
    <t>A15,FIII,Ib</t>
  </si>
  <si>
    <t>Rule</t>
  </si>
  <si>
    <t>2.3.2.3.1</t>
  </si>
  <si>
    <t>Material de capacitación para la captación</t>
  </si>
  <si>
    <t>2.3.2.3</t>
  </si>
  <si>
    <t>Elaborar manuales y otros materiales</t>
  </si>
  <si>
    <t>A15,FIII,Ic</t>
  </si>
  <si>
    <t>Process support input</t>
  </si>
  <si>
    <t>2.3.2.3.2</t>
  </si>
  <si>
    <t>Manuales operativos</t>
  </si>
  <si>
    <t>Rule, Questionnaire logic, Statement</t>
  </si>
  <si>
    <t>2.3.3.1.1</t>
  </si>
  <si>
    <t>Características del equipamiento necesario por figura operativa</t>
  </si>
  <si>
    <t>2.3.3</t>
  </si>
  <si>
    <t>Definir estrategia operativa para la captación</t>
  </si>
  <si>
    <t>2.3.3.1</t>
  </si>
  <si>
    <t>Determinar el equipamiento y recursos materiales necesarios</t>
  </si>
  <si>
    <t>A14,FIII,Ib2</t>
  </si>
  <si>
    <t>2.3.3.1.2</t>
  </si>
  <si>
    <t>Recursos materiales necesarios por figura operativa</t>
  </si>
  <si>
    <t>2.3.3.2.1</t>
  </si>
  <si>
    <t>Material de promoción del operativo de campo</t>
  </si>
  <si>
    <t>2.3.3.2</t>
  </si>
  <si>
    <t>Definir el material de promoción del operativo de campo</t>
  </si>
  <si>
    <t>2.3.3.3.1</t>
  </si>
  <si>
    <t>Estrategia operativa del proceso</t>
  </si>
  <si>
    <t>2.3.3.3</t>
  </si>
  <si>
    <t>Establecer estrategia operativa de la captación (logística)</t>
  </si>
  <si>
    <t>Rule, Process method</t>
  </si>
  <si>
    <t>2.3.3.3.2</t>
  </si>
  <si>
    <t>Criterios e indicadores para el seguimiento y control del operativo</t>
  </si>
  <si>
    <t>2.3.3.3.3</t>
  </si>
  <si>
    <t>Especificación de recursos materiales requeridos</t>
  </si>
  <si>
    <t>2.3.3.4.1</t>
  </si>
  <si>
    <t>Plantilla del personal y roles requeridos para la captación</t>
  </si>
  <si>
    <t>2.3.3.4</t>
  </si>
  <si>
    <t>Especificar plantilla, perfiles y estrategias de contratación del personal</t>
  </si>
  <si>
    <t>Administrative details, Role, Maintainer</t>
  </si>
  <si>
    <t>2.3.3.5.1</t>
  </si>
  <si>
    <t>Instrumento jurídico para obtener datos</t>
  </si>
  <si>
    <t>2.3.3.5</t>
  </si>
  <si>
    <t>Formalizar un instrumento jurídico para la obtención de información</t>
  </si>
  <si>
    <t>Provision agreement</t>
  </si>
  <si>
    <t>2.3.3.6.1</t>
  </si>
  <si>
    <t>Manual de captura de datos</t>
  </si>
  <si>
    <t>2.3.3.6</t>
  </si>
  <si>
    <t>Diseñar la captura de datos</t>
  </si>
  <si>
    <t>2.3.3.7.1</t>
  </si>
  <si>
    <t>Procedimiento para visitar las unidades de observación y su verificación</t>
  </si>
  <si>
    <t>2.3.3.7</t>
  </si>
  <si>
    <t>Establecer estrategia para visitar las unidades de observación y su verificación</t>
  </si>
  <si>
    <t>A15,FIII,Ia; A15,FIII,Id;</t>
  </si>
  <si>
    <t>2.3.3.9.1</t>
  </si>
  <si>
    <t>Relación de recursos materiales en inventario</t>
  </si>
  <si>
    <t>2.3.3.9</t>
  </si>
  <si>
    <t>Verificar equipamiento y recursos materiales disponibles</t>
  </si>
  <si>
    <t>2.3.3.10.1</t>
  </si>
  <si>
    <t>Estrategia para la comunicación y concertación</t>
  </si>
  <si>
    <t>2.3.3.10</t>
  </si>
  <si>
    <t>Especificar estrategia para la comunicación y concertación</t>
  </si>
  <si>
    <t>Exchange specification</t>
  </si>
  <si>
    <t>2.3.3.10.2</t>
  </si>
  <si>
    <t>Diseño de productos para promoción y difusión en medios de comunicación</t>
  </si>
  <si>
    <t>Output specification, Presentation</t>
  </si>
  <si>
    <t>2.3.3.11.1</t>
  </si>
  <si>
    <t>Estrategia de control y seguimiento de la captación</t>
  </si>
  <si>
    <t>2.3.3.11</t>
  </si>
  <si>
    <t>Definir estrategia de control y seguimiento de la captación</t>
  </si>
  <si>
    <t>2.3.3.12.1</t>
  </si>
  <si>
    <t>Procedimiento para la actualización de la cartografía</t>
  </si>
  <si>
    <t>2.3.3.12</t>
  </si>
  <si>
    <t>Establecer estrategia para la actualización cartográfica</t>
  </si>
  <si>
    <t>A15,FIII,Id</t>
  </si>
  <si>
    <t>2.3.3.13.1</t>
  </si>
  <si>
    <t>Estrategia de reclutamiento del personal</t>
  </si>
  <si>
    <t>2.3.3.13</t>
  </si>
  <si>
    <t>Definir estrategia de reclutamiento del personal</t>
  </si>
  <si>
    <t>2.3.3.14.1</t>
  </si>
  <si>
    <t>Especificación de equipamiento y recursos materiales requeridos</t>
  </si>
  <si>
    <t>2.3.3.14</t>
  </si>
  <si>
    <t>Gestionar equipamiento y recursos materiales adicionales</t>
  </si>
  <si>
    <t>2.3.3.15.1</t>
  </si>
  <si>
    <t>Estrategia de capacitación del personal del levantamiento</t>
  </si>
  <si>
    <t>2.3.3.15</t>
  </si>
  <si>
    <t>Especificar estrategia de capacitación del personal</t>
  </si>
  <si>
    <t>LCO A8,FVIII</t>
  </si>
  <si>
    <t>2.3.3.16.1</t>
  </si>
  <si>
    <t>Procedimiento para la distribución de equipamiento y recursos materiales</t>
  </si>
  <si>
    <t>2.3.3.16</t>
  </si>
  <si>
    <t>Definir estrategia de distribución de equipamiento y recursos materiales</t>
  </si>
  <si>
    <r>
      <t>2.4.</t>
    </r>
    <r>
      <rPr>
        <sz val="11"/>
        <color rgb="FFFF0000"/>
        <rFont val="Aptos Narrow"/>
        <family val="2"/>
        <scheme val="minor"/>
      </rPr>
      <t>2.</t>
    </r>
    <r>
      <rPr>
        <sz val="11"/>
        <rFont val="Aptos Narrow"/>
        <family val="2"/>
        <scheme val="minor"/>
      </rPr>
      <t>1.1</t>
    </r>
  </si>
  <si>
    <r>
      <t xml:space="preserve">Informe </t>
    </r>
    <r>
      <rPr>
        <sz val="11"/>
        <color rgb="FFFF0000"/>
        <rFont val="Aptos Narrow"/>
        <family val="2"/>
        <scheme val="minor"/>
      </rPr>
      <t xml:space="preserve">de </t>
    </r>
    <r>
      <rPr>
        <sz val="11"/>
        <rFont val="Aptos Narrow"/>
        <family val="2"/>
        <scheme val="minor"/>
      </rPr>
      <t>disponibilidad del marco de muestreo</t>
    </r>
  </si>
  <si>
    <t>2.4</t>
  </si>
  <si>
    <t>Determinar la población objeto de estudio, el marco muestral y el tipo de muestreo</t>
  </si>
  <si>
    <t>2.4.2</t>
  </si>
  <si>
    <t>Determinar el marco de muestreo</t>
  </si>
  <si>
    <t>2.4.2.1</t>
  </si>
  <si>
    <t>Revisar la disponibilidad de un marco de muestreo</t>
  </si>
  <si>
    <t>A15,FIV; GDME 1.1</t>
  </si>
  <si>
    <t>2.4.2.3.1</t>
  </si>
  <si>
    <t>Características del marco de muestreo</t>
  </si>
  <si>
    <t>Características del marco de muestreo, contiene las especificaciones que se indican en la Guía de Diseño de la Muestra para Encuestas (GDME), en la actividad 1: Preparación del Marco de muestreo para muestreo probabilístico:
   1.1 El marco de muestreo 
   1.2 Construcción del marco de muestreo y mantenimiento 
   1.3 Marcos muestrales múltiples 
   1.4 Marcos de áreas 
   1.5 Marcos de muestreo maestros (MMM) 
   1.6 Muestras maestras 
   1.7 Marcos ab initio 
   1.8 Consideraciones adicionales en el uso de marcos muestrales</t>
  </si>
  <si>
    <t>2.4.2.3</t>
  </si>
  <si>
    <t>Definir el tipo y los elementos del marco de muestreo</t>
  </si>
  <si>
    <t>A15,FIV; GDME 1.2</t>
  </si>
  <si>
    <t>Universe, Information structure</t>
  </si>
  <si>
    <t>2.4.2.4.1</t>
  </si>
  <si>
    <t>Solicitud del marco de muestreo</t>
  </si>
  <si>
    <t>2.4.2.4</t>
  </si>
  <si>
    <t>Realizar los requerimientos para el marco de muestreo</t>
  </si>
  <si>
    <t>2.4.2.6.1</t>
  </si>
  <si>
    <t>Muestra maestra</t>
  </si>
  <si>
    <t>2.4.2.6</t>
  </si>
  <si>
    <t>Elaborar muestra maestra</t>
  </si>
  <si>
    <t>A15,FIV; GDME A3</t>
  </si>
  <si>
    <t>Universe, Data set</t>
  </si>
  <si>
    <t>2.4.2.7.1</t>
  </si>
  <si>
    <t>Documentación del marco muestral</t>
  </si>
  <si>
    <t>2.4.2.7</t>
  </si>
  <si>
    <t>Documentar el marco de muestreo</t>
  </si>
  <si>
    <t>A15,FIV; GDME 6.1</t>
  </si>
  <si>
    <t>2.4.3.1.1</t>
  </si>
  <si>
    <t>Esquema de muestreo</t>
  </si>
  <si>
    <t xml:space="preserve">Esquema de muestreo, los métodos de muestreo se agrupan en dos tipos: probabilístico y no probabilístico; la combinación de ambos se considera como muestreo mixto, para elegir la modalidad de muestreo se debe considerar si se dispone de un marco de muestreo actualizado, si está estratificado o si permite hacer una selección por conglomerados, como se indica en la Guía de Diseño de la Muestra para Encuestas (GDME), en la actividad 2: Elección del Tipo de Muestreo: 
Probabilístico 
• Aleatorio simple (con reemplazo y sin reemplazo) 
• Sistemático 
• Estratificado 
• Por conglomerados 
• Mediciones repetidas (longitudinal) 
Determinístico (no probabilístico) 
• Convencional o accidental 
• Por cuotas 
• Cadena o bola de nieve (snow ball) 
• Intencional o por juicio 
Mixto 
• Muestreo cutoff </t>
  </si>
  <si>
    <t>2.4.3</t>
  </si>
  <si>
    <t>Determinar el esquema de muestreo</t>
  </si>
  <si>
    <t>2.4.3.1</t>
  </si>
  <si>
    <t>Elegir el tipo de muestreo</t>
  </si>
  <si>
    <t>A15,FIV; GDME 2.1; GDME 2.2</t>
  </si>
  <si>
    <t>Process method (population)</t>
  </si>
  <si>
    <t>2.4.4.1.1</t>
  </si>
  <si>
    <t>Documentación del tamaño de la muestra</t>
  </si>
  <si>
    <t>2.4.4</t>
  </si>
  <si>
    <t>Determinar la muestra probabilística</t>
  </si>
  <si>
    <t>2.4.4.1</t>
  </si>
  <si>
    <t>Calcular el tamaño de la muestra</t>
  </si>
  <si>
    <t>2.4.4.2.1</t>
  </si>
  <si>
    <t>Diseño de algoritmos para selección de la muestra</t>
  </si>
  <si>
    <t>2.4.4.2</t>
  </si>
  <si>
    <t>Distribuir la muestra en los estratos</t>
  </si>
  <si>
    <t>2.4.4.2.2</t>
  </si>
  <si>
    <t>Documentación del procedimiento de estratificación</t>
  </si>
  <si>
    <t>A14,FIV; GDME A4</t>
  </si>
  <si>
    <t>2.4.4.3.1</t>
  </si>
  <si>
    <t>Muestra seleccionada</t>
  </si>
  <si>
    <t>2.4.4.3</t>
  </si>
  <si>
    <t>Seleccionar la muestra</t>
  </si>
  <si>
    <t>Population (sample)</t>
  </si>
  <si>
    <t>2.4.5.1.1</t>
  </si>
  <si>
    <t>Diseño de algoritmos para los estimadores, precisiones est. e ind. de precisión</t>
  </si>
  <si>
    <t>Diseño de algoritmos para los estimadores, precisiones est. e ind. de precisión, contiene:
1. Expresión matemática para el cálculo de estimaciones. Incluye los estimadores de los indicadores objetivo.
2. Expresión matemática para el cálculo de precisiones estadísticas. Incluye los estimadores de precisión de indicadores objetivo.</t>
  </si>
  <si>
    <t>2.4.5</t>
  </si>
  <si>
    <t>Definir las estimaciones para muestreo probabilístico</t>
  </si>
  <si>
    <t>2.4.5.1</t>
  </si>
  <si>
    <t>Diseñar los estimadores, precisiones estadísticas e indicadores de precisión</t>
  </si>
  <si>
    <t>2.4.6.1.1</t>
  </si>
  <si>
    <t>Documento del diseño muestral</t>
  </si>
  <si>
    <t>Documento del diseño muestral, contiene las especificaciones que se indican en la Guía de Diseño de la Muestra para Encuestas (GDME), en la actividad 6: Documentación del diseño de la muestra:
   6.1 Nota metodológica del diseño muestral
   6.2 Especificación de los metadatos
Incluye:
incluye aspectos importantes relacionados con 
4. El marco de muestreo
   4.1 Disponibilidad del marco muestral
   4.2 Fecha de actualización del marco
   4.3 Marco de muestreo múltiple (componentes registros administrativos, marcos de muestreo)
   4.4 Tamaño del marco de muestreo
   4.5 Descripción de las variables auxiliares contenidas del marco de muestreo
   4.6 Descripción de las Unidades de muestreo
      4.6.1 Primaria
      4.6.2 Secundaria
      4.6.3 Terciaria
      4.6.4 Unidad última de muestreo
5. Descripción de complejidad de la muestra
   5.1 Estratificación
   5.2 Conglomeración
   5.3 Dominios de estudio
6. El esquema de muestreo empleado
   6.1 Muestreo probabilístico
      6.1.1 Justificación para usar muestreo probabilístico
   6.2 Muestreo determinístico (no probabilístico)
      6.2.1 Justificación para usar muestreo determinístico (no probabilístico)
      6.2.2 Descripción de la metodología
   6.3 Muestreo mixto
      6.3.1 Justificación para usar muestreo mixto
      6.3.2 Descripción de la metodología (sección muestreo no probabilístico)
7. La determinación del tamaño de la muestra
   7.1 Indicador(es) objetivo principal(es) usado(s) y variables utilizadas para el cálculo de tamaños de muestra por dominios de estudio
   7.2 Nivel de precisión planeado
   7.3 Confianza planeada
   7.4 Cálculo de tamaño de muestra para dominios
   7.5 Coeficiente de Variación
   7.6 Efecto de Diseño
   7.7 Tasa de no respuesta esperada
   7.8 Número total de estratos auto representados
   7.9 Número total de estratos unidos
   7.10 Fórmula para determinar el tamaño de la muestra
   7.11 Distribución del tamaño de muestra
   7.12 Selección de la muestra
8. Métodos de captación de datos de la encuesta
   8.1 Vivienda, Unidad económica o Plaza de captación
   8.2 Entrevista directa o diferida
   8.3 Medio de captación (en papel, internet, teléfono o medios digitales)
9. Fórmulas de cálculo y ajuste de los ponderadores
   9.1 Por el nivel de no respuesta
   9.2 Ajuste por estimación de la población objeto de estudio
   9.3 Verificación del balance muestral (las congruencias del total estimado del dominio y el total obtenido en el marco muestral)
10. Fórmulas de cálculo de los estimadores empleados y errores estándares
   10.1 Nombre de los indicadores objetivo y dominios de estudio para los cuales se calculan
   10.2 Fórmulas de los estimadores
   10.3 Fórmula de estimación de la varianza y error estándar
11. Cálculo de las precisiones estadísticas.
   11.1 Indicadores objetivo y dominios de estudio para los cuales se calculan
   11.2 Cálculo de intervalos de confianza para los indicadores objetivo y dominios de estudio para los cuales se calculan
   11.3 Coeficiente de variación para los indicadores objetivo y dominios de estudio para los cuales se calculan
   11.4 Sólo para encuestas mixtas, para el estrato de estimación con una muestra no probabilística
      11.4.1 Nombre de las variables de diseño y cálculo del porcentaje de cobertura.
      11.4.2 Método de estimación y variables auxiliares usadas.</t>
  </si>
  <si>
    <t>2.4.6</t>
  </si>
  <si>
    <t>Documentar el diseño de la muestra</t>
  </si>
  <si>
    <t>2.4.6.1</t>
  </si>
  <si>
    <t>Elaborar la nota metodológica del diseño de la muestra</t>
  </si>
  <si>
    <r>
      <t>2.4.</t>
    </r>
    <r>
      <rPr>
        <sz val="11"/>
        <color rgb="FFFF0000"/>
        <rFont val="Aptos Narrow"/>
        <family val="2"/>
        <scheme val="minor"/>
      </rPr>
      <t>7</t>
    </r>
    <r>
      <rPr>
        <sz val="11"/>
        <rFont val="Aptos Narrow"/>
        <family val="2"/>
        <scheme val="minor"/>
      </rPr>
      <t>.1.1</t>
    </r>
  </si>
  <si>
    <r>
      <t xml:space="preserve">Informe de la disponibilidad del marco de </t>
    </r>
    <r>
      <rPr>
        <sz val="11"/>
        <color rgb="FFFF0000"/>
        <rFont val="Aptos Narrow"/>
        <family val="2"/>
        <scheme val="minor"/>
      </rPr>
      <t>población</t>
    </r>
  </si>
  <si>
    <t>2.4.7</t>
  </si>
  <si>
    <t>Determinar el marco de población</t>
  </si>
  <si>
    <t>2.4.7.1</t>
  </si>
  <si>
    <t>Revisar la disponibilidad de un marco de población previo</t>
  </si>
  <si>
    <r>
      <t>2.4.</t>
    </r>
    <r>
      <rPr>
        <sz val="11"/>
        <color rgb="FFFF0000"/>
        <rFont val="Aptos Narrow"/>
        <family val="2"/>
        <scheme val="minor"/>
      </rPr>
      <t>7.</t>
    </r>
    <r>
      <rPr>
        <sz val="11"/>
        <rFont val="Aptos Narrow"/>
        <family val="2"/>
        <scheme val="minor"/>
      </rPr>
      <t>3.1</t>
    </r>
  </si>
  <si>
    <r>
      <t xml:space="preserve">Características del marco </t>
    </r>
    <r>
      <rPr>
        <sz val="11"/>
        <color rgb="FFFF0000"/>
        <rFont val="Aptos Narrow"/>
        <family val="2"/>
        <scheme val="minor"/>
      </rPr>
      <t>de población</t>
    </r>
  </si>
  <si>
    <t>2.4.7.3</t>
  </si>
  <si>
    <t>Definir el tipo y los elementos del marco de población</t>
  </si>
  <si>
    <t>A14,FIV</t>
  </si>
  <si>
    <r>
      <t>2.4.</t>
    </r>
    <r>
      <rPr>
        <sz val="11"/>
        <color rgb="FFFF0000"/>
        <rFont val="Aptos Narrow"/>
        <family val="2"/>
        <scheme val="minor"/>
      </rPr>
      <t>7</t>
    </r>
    <r>
      <rPr>
        <sz val="11"/>
        <rFont val="Aptos Narrow"/>
        <family val="2"/>
        <scheme val="minor"/>
      </rPr>
      <t>.4.1</t>
    </r>
  </si>
  <si>
    <r>
      <t xml:space="preserve">Solicitud del marco </t>
    </r>
    <r>
      <rPr>
        <sz val="11"/>
        <color rgb="FFFF0000"/>
        <rFont val="Aptos Narrow"/>
        <family val="2"/>
        <scheme val="minor"/>
      </rPr>
      <t>de población</t>
    </r>
  </si>
  <si>
    <t>2.4.7.4</t>
  </si>
  <si>
    <t>Realizar los requerimientos para el marco de población</t>
  </si>
  <si>
    <t>2.4.7.6.1</t>
  </si>
  <si>
    <r>
      <t xml:space="preserve">Documentación del marco </t>
    </r>
    <r>
      <rPr>
        <sz val="11"/>
        <color rgb="FFFF0000"/>
        <rFont val="Aptos Narrow"/>
        <family val="2"/>
        <scheme val="minor"/>
      </rPr>
      <t>de población</t>
    </r>
  </si>
  <si>
    <t>2.4.7.6</t>
  </si>
  <si>
    <t>Documentar el marco de población</t>
  </si>
  <si>
    <t>2.5.1.1.1</t>
  </si>
  <si>
    <t>Diseño de algoritmos para integrar datos</t>
  </si>
  <si>
    <t>Diseño de algoritmos para integrar datos, incluye las métricas para evaluar la integración de datos</t>
  </si>
  <si>
    <t>2.5</t>
  </si>
  <si>
    <t>Diseñar el procesamiento y análisis de la producción</t>
  </si>
  <si>
    <t>2.5.1</t>
  </si>
  <si>
    <t>Diseñar metodologías y algoritmos para el procesamiento y análisis</t>
  </si>
  <si>
    <t>2.5.1.1</t>
  </si>
  <si>
    <t>Diseñar algoritmos para integrar los datos de la captación</t>
  </si>
  <si>
    <t>A15,FV,Ia</t>
  </si>
  <si>
    <t>2.5.1.2.1</t>
  </si>
  <si>
    <t>Diseño de algoritmos para la codificación de datos </t>
  </si>
  <si>
    <t>Diseño de algoritmos para la codificación de datos, incluye las métricas para evaluar la codificación de datos.</t>
  </si>
  <si>
    <t>2.5.1.2</t>
  </si>
  <si>
    <t>Diseñar los algoritmos para la codificación</t>
  </si>
  <si>
    <t>A15,FV,Ib</t>
  </si>
  <si>
    <t>2.5.1.2.2</t>
  </si>
  <si>
    <t>Modelo de base de datos de codificación</t>
  </si>
  <si>
    <t>A14,FV,Ia</t>
  </si>
  <si>
    <t>2.5.1.3.1</t>
  </si>
  <si>
    <t>Diseño de algoritmos para el cálculo y calibración de ponderadores</t>
  </si>
  <si>
    <t>Incluye las métricas para evaluar el cálculo de ponderadores</t>
  </si>
  <si>
    <t>2.5.1.3</t>
  </si>
  <si>
    <t>Diseñar algoritmos para el cálculo y calibración de ponderadores</t>
  </si>
  <si>
    <t>A15,FV,Ig</t>
  </si>
  <si>
    <t>2.5.1.4.1</t>
  </si>
  <si>
    <t>Diseño de algoritmos para la validación</t>
  </si>
  <si>
    <t>Diseño de algoritmos para la validación de datos, incluye las métricas para evaluar la validación de datos.</t>
  </si>
  <si>
    <t>2.5.1.4</t>
  </si>
  <si>
    <t>Diseñar algoritmos para la validación de los datos</t>
  </si>
  <si>
    <t>A15,FV,Id</t>
  </si>
  <si>
    <t>2.5.1.4.2</t>
  </si>
  <si>
    <t>Modelo de base de datos de validación</t>
  </si>
  <si>
    <t>2.5.1.5.1</t>
  </si>
  <si>
    <t>Diseño de algoritmos para la edición e imputación de datos</t>
  </si>
  <si>
    <t>Diseño de algoritmos para la edición e imputación de datos, incluye las métricas para evaluar la edición e imputación de datos</t>
  </si>
  <si>
    <t>2.5.1.5</t>
  </si>
  <si>
    <t>Diseñar algoritmos para la edición e imputación de los datos</t>
  </si>
  <si>
    <t>A15,FV,Ic; A15,FV,Ie</t>
  </si>
  <si>
    <t>2.5.1.5.2</t>
  </si>
  <si>
    <t>Modelo de base de datos de edición e imputación</t>
  </si>
  <si>
    <t>2.5.1.6.1</t>
  </si>
  <si>
    <t>Diseño de algoritmos para la creación de nuevas variables o unidades</t>
  </si>
  <si>
    <t>Diseño de algoritmos para la creación de nuevas variables o unidades, incluye las métricas para evaluar la creación de nuevas variables o unidades.</t>
  </si>
  <si>
    <t>2.5.1.6</t>
  </si>
  <si>
    <t>Diseñar algoritmos para la creación de nuevas variables o unidades</t>
  </si>
  <si>
    <t>A15,FV,If</t>
  </si>
  <si>
    <t>2.5.1.6.2</t>
  </si>
  <si>
    <t>Modelo de base de datos del procesamiento</t>
  </si>
  <si>
    <t>A14,FV,Ib</t>
  </si>
  <si>
    <t>2.5.1.7.1</t>
  </si>
  <si>
    <t>Diseño de algoritmos para cálculo de agregaciones y medidas estadísticas</t>
  </si>
  <si>
    <t>Diseño de algoritmos para cálculo de agregaciones y medidas estadísticas, comprende:
1. Criterios de agrupamiento de tabulados
2. Cálculo de indicadores objetivo
3. Cálculo de indicadores de calidad vigentes asociados a la información y los resultados
4. Cálculo de índices, tendencias o series ajustadas estacionalmente</t>
  </si>
  <si>
    <t>2.5.1.7</t>
  </si>
  <si>
    <t>Diseñar algoritmos para el cálculo de agregaciones y medidas estadísticas</t>
  </si>
  <si>
    <t>A15,FV,Ii; A15,FV,Ik</t>
  </si>
  <si>
    <t>2.5.1.8.1</t>
  </si>
  <si>
    <t>Documento de metodología y algoritmos para finalizar el procesamiento y análisis de resultados</t>
  </si>
  <si>
    <t>2.5.1.8</t>
  </si>
  <si>
    <t>Diseñar finalización del conj. de datos procesados y análisis para liberación de resultados</t>
  </si>
  <si>
    <t>A15,FV,Ik</t>
  </si>
  <si>
    <t>2.5.1.9.1</t>
  </si>
  <si>
    <t>Cronograma para la codificación</t>
  </si>
  <si>
    <t>2.5.1.9</t>
  </si>
  <si>
    <t>Planear la codificación</t>
  </si>
  <si>
    <t>2.5.1.9.2</t>
  </si>
  <si>
    <t>Plantilla del personal y roles requeridos para la codificación</t>
  </si>
  <si>
    <t>2.5.1.9.3</t>
  </si>
  <si>
    <t>Estrategia de la codificación</t>
  </si>
  <si>
    <t>2.5.1.10.1</t>
  </si>
  <si>
    <t>Manuales para la codificación de los datos</t>
  </si>
  <si>
    <t>2.5.1.10</t>
  </si>
  <si>
    <t>Diseñar capacitación para la codificación</t>
  </si>
  <si>
    <t>A15,FIII,Ic; A15,FV,Ib</t>
  </si>
  <si>
    <t>2.5.1.10.2</t>
  </si>
  <si>
    <t>Material de capacitación para la codificación</t>
  </si>
  <si>
    <t>2.5.1.11.1</t>
  </si>
  <si>
    <t>Diseño de la evaluación para la codificación</t>
  </si>
  <si>
    <t>2.5.1.11</t>
  </si>
  <si>
    <t>Diseñar evaluación para la codificación</t>
  </si>
  <si>
    <t>2.5.1.12.1</t>
  </si>
  <si>
    <t>Estrategia de la validación</t>
  </si>
  <si>
    <t>2.5.1.12</t>
  </si>
  <si>
    <t>Planear la validación</t>
  </si>
  <si>
    <t>2.5.1.12.2</t>
  </si>
  <si>
    <t>Cronograma para la validación</t>
  </si>
  <si>
    <t>2.5.1.12.3</t>
  </si>
  <si>
    <t>Plantilla del personal y roles requeridos para la validación</t>
  </si>
  <si>
    <t>2.5.1.13.1</t>
  </si>
  <si>
    <t>Manuales para la validación automática y validación manual</t>
  </si>
  <si>
    <t>2.5.1.13</t>
  </si>
  <si>
    <t>Diseñar capacitación para la validación</t>
  </si>
  <si>
    <t>2.5.1.13.2</t>
  </si>
  <si>
    <t>Material de capacitación para la validación</t>
  </si>
  <si>
    <t>2.5.2.1.1</t>
  </si>
  <si>
    <t>Requerimientos específicos en materia de seguridad de la información</t>
  </si>
  <si>
    <t>Requerimientos específicos en materia de seguridad de la información, contiene:
1. Listado de activos de información críticos
2. Listado de controles mínimos</t>
  </si>
  <si>
    <t>2.5.2</t>
  </si>
  <si>
    <t>Determinar estrategias y mecanismos para la seguridad de la información</t>
  </si>
  <si>
    <t>2.5.2.1</t>
  </si>
  <si>
    <t>A14,FIV,Ic</t>
  </si>
  <si>
    <t>2.5.2.2.1</t>
  </si>
  <si>
    <t>Diseño de algoritmos y estrategia para anonimización de datos</t>
  </si>
  <si>
    <t>2.5.2.2</t>
  </si>
  <si>
    <t>Definir mecanismos para la confidencialidad estadística</t>
  </si>
  <si>
    <t>DTMARA II.3.3</t>
  </si>
  <si>
    <t>2.5.2.2.2</t>
  </si>
  <si>
    <t>Definición de roles que participan en el compromiso de confidencialidad</t>
  </si>
  <si>
    <t>A14,FV,Ic</t>
  </si>
  <si>
    <t>Role</t>
  </si>
  <si>
    <t>2.5.2.2.3</t>
  </si>
  <si>
    <t>Otros controles de confidencialidad estadística</t>
  </si>
  <si>
    <t>Otros controles de confidencialidad estadística, incluye:
1. Casos de excepción
2. Requerimiento de cifrado de datos para difusión
3. Control de acceso a la documentación en cada fase</t>
  </si>
  <si>
    <t>2.5.3.1.1</t>
  </si>
  <si>
    <t>Modelo de datos del conjunto de información</t>
  </si>
  <si>
    <t>2.5.3</t>
  </si>
  <si>
    <t>Definir estructuras de datos, estrategias de almacenamiento y conservación de la información</t>
  </si>
  <si>
    <t>2.5.3.1</t>
  </si>
  <si>
    <t>Diseñar la estructura de datos del conjunto de información y objetos complementarios</t>
  </si>
  <si>
    <t>2.5.3.2.1</t>
  </si>
  <si>
    <t>Estrategias y mecanismos para almacenamiento y conservación de la información</t>
  </si>
  <si>
    <t>2.5.3.2</t>
  </si>
  <si>
    <t>Definir estrategias de almacenamiento y conservación de la información</t>
  </si>
  <si>
    <t>DTMARA II.3.4</t>
  </si>
  <si>
    <t>2.6.1.1.1</t>
  </si>
  <si>
    <t>Esquema de difusión</t>
  </si>
  <si>
    <t>2.6</t>
  </si>
  <si>
    <t>Diseñar esquema de difusión de los prod. de inf. y acuerdos y protocolos de intercambio</t>
  </si>
  <si>
    <t>2.6.1</t>
  </si>
  <si>
    <t>Realizar el diseño del esquema de difusión</t>
  </si>
  <si>
    <t>2.6.1.1</t>
  </si>
  <si>
    <t>Especificar el esquema de difusión</t>
  </si>
  <si>
    <t>A15,FVI</t>
  </si>
  <si>
    <t>2.6.1.2.1</t>
  </si>
  <si>
    <t>Oficio de retroalimentación del esquema de difusión</t>
  </si>
  <si>
    <t>2.6.1.2</t>
  </si>
  <si>
    <t>Obtener retroalimentación del esquema de difusión de la UA competente en la materia</t>
  </si>
  <si>
    <t>A15,FVI,Ib</t>
  </si>
  <si>
    <t>3.1.1.1.1</t>
  </si>
  <si>
    <t>Modelo de datos del sistema administrador</t>
  </si>
  <si>
    <t xml:space="preserve">El modelo de datos del sistema comprende las estructuras que soportan lo siguiente:
1. Instrumento de captación digital (cuestionario electrónico)
2. Interfaz de administración del sistema, que incluye funciones para planeación, supervisión, seguimiento, control 
    y asistencia del operativo.
3. Servicio de validación en línea o de campo
4. Servicio de codificación de campo
5. Servicio de integración y envío-recepción de datos
</t>
  </si>
  <si>
    <t>Fase 3</t>
  </si>
  <si>
    <t>Construcción</t>
  </si>
  <si>
    <t>3.1</t>
  </si>
  <si>
    <t>Construir y mejorar la infraestructura informática, componentes, aplicaciones y serv. de soft.</t>
  </si>
  <si>
    <t>3.1.1</t>
  </si>
  <si>
    <t>Desarrollar sistema para la captación</t>
  </si>
  <si>
    <t>3.1.1.1</t>
  </si>
  <si>
    <t>Desarrollar el sistema administrador</t>
  </si>
  <si>
    <t>A18,FI; DTMARA A3.1</t>
  </si>
  <si>
    <t>3.1.1.1.2</t>
  </si>
  <si>
    <t>Sistema administrador para seguimiento y control operativo</t>
  </si>
  <si>
    <t>Business service</t>
  </si>
  <si>
    <t>3.1.1.2.1</t>
  </si>
  <si>
    <t>Sistema para la captación</t>
  </si>
  <si>
    <t>El sistema para la captación (plataformas informáticas, componentes, aplicaciones y servicios de software) incluye:
1. Instrumento de captación digital (cuestionario electrónico)
2. Servicio de validación en línea o de campo
3. Servicio de codificación de campo</t>
  </si>
  <si>
    <t>3.1.1.2</t>
  </si>
  <si>
    <t>Construir el sistema para la captación</t>
  </si>
  <si>
    <t>3.1.1.4.1</t>
  </si>
  <si>
    <t>Documentación del respaldo del sistema</t>
  </si>
  <si>
    <t>Documentación del respaldo del sistema (plataformas informáticas, componentes, aplicaciones y servicios de software) para la captación, procesamiento, análisis de la producción, difusión y flujos de trabajo.</t>
  </si>
  <si>
    <t>3.1.1.4</t>
  </si>
  <si>
    <t>Elaborar o actualizar la documentación del sistema para la captación</t>
  </si>
  <si>
    <t>A19,FI</t>
  </si>
  <si>
    <t>3.1.1.4.2</t>
  </si>
  <si>
    <t>Documentación técnica del sistema</t>
  </si>
  <si>
    <t>Documentación técnica del sistema (plataformas informáticas, componentes, aplicaciones y servicios de software) para la captación, procesamiento, análisis de la producción, difusión y flujos de trabajo.</t>
  </si>
  <si>
    <t>A19,FIII</t>
  </si>
  <si>
    <t>3.1.1.4.3</t>
  </si>
  <si>
    <t>Manual del sistema para la captación</t>
  </si>
  <si>
    <t>Manual del sistema para la captación, incluye las especificaciones y requerimientos técnicos del sistema para la captación</t>
  </si>
  <si>
    <t>Documentar el sistema para la captación / Elaborar o actualizar la documentación del sistema para la captación</t>
  </si>
  <si>
    <t>A19,FVI</t>
  </si>
  <si>
    <t>3.1.2.1.1</t>
  </si>
  <si>
    <t>Sistema para la integración de datos</t>
  </si>
  <si>
    <t>Sistema para la integración de datos (plataformas informáticas, componentes, aplicaciones y servicios de software)</t>
  </si>
  <si>
    <t>3.1.2</t>
  </si>
  <si>
    <t>Desarrollar sistemas para el procesamiento</t>
  </si>
  <si>
    <t>3.1.2.1</t>
  </si>
  <si>
    <t>Construir plataformas inform., comp., app. y serv. de soft. para la integración de datos</t>
  </si>
  <si>
    <t>3.1.2.2.1</t>
  </si>
  <si>
    <t>Sistema para la codificación</t>
  </si>
  <si>
    <t>Sistema para la codificación (plataformas informáticas, componentes, aplicaciones y servicios de software)</t>
  </si>
  <si>
    <t>3.1.2.2</t>
  </si>
  <si>
    <t>Construir plataformas inform., comp., app. y serv. de soft. para la codificación</t>
  </si>
  <si>
    <t>3.1.2.2.2</t>
  </si>
  <si>
    <t>Manual del sistema para la codificación</t>
  </si>
  <si>
    <t>3.1.2.3.1</t>
  </si>
  <si>
    <t>Sistema para la validación, edición e imputación</t>
  </si>
  <si>
    <t>Sistema para la validación, edición e imputación (plataformas informáticas, componentes, aplicaciones y servicios de software)</t>
  </si>
  <si>
    <t>3.1.2.3</t>
  </si>
  <si>
    <t>Construir plataformas inform., comp., app. y serv. de soft. de validación, ed., e imputación</t>
  </si>
  <si>
    <t>3.1.2.3.2</t>
  </si>
  <si>
    <t>Manual del sistema para la validación, edición e imputación</t>
  </si>
  <si>
    <t>3.1.2.4.1</t>
  </si>
  <si>
    <t>Sistema para nuevas variables o unidades</t>
  </si>
  <si>
    <t>Sistema para nuevas variables o unidades (plataformas informáticas, componentes, aplicaciones y servicios de software)</t>
  </si>
  <si>
    <t>3.1.2.4</t>
  </si>
  <si>
    <t>Construir plataformas inform., comp., app. y serv. de soft. para nuevas variables y unidades</t>
  </si>
  <si>
    <t>3.1.2.5.1</t>
  </si>
  <si>
    <t>Sistema para el cálculo y calibración de ponderadores</t>
  </si>
  <si>
    <t>Sistema para el cálculo y calibración de ponderadores (plataformas informáticas, componentes, aplicaciones y servicios de software)</t>
  </si>
  <si>
    <t>3.1.2.5</t>
  </si>
  <si>
    <t>Construir plataformas inform., comp., app. y serv. de soft. para el cálculo de ponderadores</t>
  </si>
  <si>
    <t>3.1.2.6.1</t>
  </si>
  <si>
    <t>Sistema para el cálculo de agregaciones y medidas estadísticas</t>
  </si>
  <si>
    <t>Sistema para el cálculo de agregaciones y medidas estadísticas (plataformas informáticas, componentes, aplicaciones y servicios de software)</t>
  </si>
  <si>
    <t>3.1.2.6</t>
  </si>
  <si>
    <t>Construir plataformas inform., comp., app. y serv. de soft. para calcular agreg. y med. est.</t>
  </si>
  <si>
    <t>3.1.2.7.1</t>
  </si>
  <si>
    <t>Manuales de los sistemas para el procesamiento</t>
  </si>
  <si>
    <t xml:space="preserve">Manuales de los sistemas para el procesamiento, incluye: 
1. Especificaciones y requerimientos técnicos del sistema para el procesamiento
2. Manual del sistema para la codificación
3. Manual del sistema para la validación, edición e imputación
4. Manual del sistema para la creación de nuevas variables o unidades
5. Manual del sistema para el cálculo de ponderadores
 </t>
  </si>
  <si>
    <t>3.1.2.7</t>
  </si>
  <si>
    <t>Documentar plataformas inform., comp., app. y serv. de soft. para el procesamiento / Elaborar o actualizar la documentación del sistema para el procesamiento</t>
  </si>
  <si>
    <t>3.1.2.7.2</t>
  </si>
  <si>
    <t>Manuales de otros sistemas para el procesamiento</t>
  </si>
  <si>
    <t>Elaborar o actualizar la documentación del sistema para el procesamiento</t>
  </si>
  <si>
    <r>
      <t>3.1.2.7</t>
    </r>
    <r>
      <rPr>
        <sz val="11"/>
        <color rgb="FFFF0000"/>
        <rFont val="Aptos Narrow"/>
        <family val="2"/>
        <scheme val="minor"/>
      </rPr>
      <t>.2</t>
    </r>
  </si>
  <si>
    <r>
      <t xml:space="preserve">Estrategia de capacitación </t>
    </r>
    <r>
      <rPr>
        <sz val="11"/>
        <color rgb="FFFF0000"/>
        <rFont val="Aptos Narrow"/>
        <family val="2"/>
        <scheme val="minor"/>
      </rPr>
      <t>al personal en el sistema</t>
    </r>
  </si>
  <si>
    <t>Estrategia de capacitación al personal en el sistema (plataformas informáticas, componentes, aplicaciones y servicios de software) para el procesamiento y análisis de la producción</t>
  </si>
  <si>
    <t>3.1.3.1.1</t>
  </si>
  <si>
    <t>Sistema para el cálculo de resultados estadísticos e indicadores de calidad</t>
  </si>
  <si>
    <t>El sistema para el cálculo de resultados estadísticos e indicadores de calidad, puede ser: plataformas informáticas, componentes, aplicaciones y servicios de software. Incluye la programación de algoritmos para el cálculo de índices, tendencias y otras medidas estadísticas</t>
  </si>
  <si>
    <t>3.1.3</t>
  </si>
  <si>
    <t>Desarrollar sistemas para el análisis de la producción</t>
  </si>
  <si>
    <t>3.1.3.1</t>
  </si>
  <si>
    <t>Construir plataformas inform., comp., app. y serv. de soft. para res. est. e ind. de calidad</t>
  </si>
  <si>
    <t>3.1.3.2.1</t>
  </si>
  <si>
    <t>Manual del sistema para el cálculo de resultados est. e indicadores de calidad</t>
  </si>
  <si>
    <t>Manual del sistema para el cálculo de resultados est. e indicadores de calidad, incluye las especificaciones y requerimientos técnicos del sistema para el cálculo de resultados est. e indicadores de calidad</t>
  </si>
  <si>
    <t>3.1.3.2</t>
  </si>
  <si>
    <t>Documentar plat. inform., comp., app. y serv. de soft. de cálc. res. est. e ind. de calidad / Elaborar o actualizar la documentación de sistemas para el análisis de la producción</t>
  </si>
  <si>
    <t>3.1.4.1.1</t>
  </si>
  <si>
    <t>Sistema para la difusión</t>
  </si>
  <si>
    <t>El sistema para la difusión puede ser: plataformas informáticas, componentes, aplicaciones y servicios de software</t>
  </si>
  <si>
    <t>3.1.4</t>
  </si>
  <si>
    <t>Desarrollar sistemas para la difusión</t>
  </si>
  <si>
    <t>3.1.4.1</t>
  </si>
  <si>
    <t>Construir plat. inform., comp., app. y serv. de soft. para difusión de productos y servicios</t>
  </si>
  <si>
    <t>3.1.4.2.1</t>
  </si>
  <si>
    <t>Manual del sistema para la difusión</t>
  </si>
  <si>
    <t>Manual del sistema para la difusión, incluye las especificaciones y requerimientos técnicos del sistema para la difusión</t>
  </si>
  <si>
    <t>3.1.4.2</t>
  </si>
  <si>
    <t>Documentar plat. inform., comp., app. y serv. de soft. para difusión de prods. y servicios / Elaborar o actualizar la documentación del sistema para la difusión</t>
  </si>
  <si>
    <t>3.1.5.1.1</t>
  </si>
  <si>
    <t>Sistema para la gestión de flujo de trabajo</t>
  </si>
  <si>
    <t>El sistema para la gestión de flujo de trabajo puede ser: plataformas informáticas, componentes, aplicaciones y servicios de software</t>
  </si>
  <si>
    <t>3.1.5</t>
  </si>
  <si>
    <t>Desarrollar sistemas para la gestión de flujos de trabajo</t>
  </si>
  <si>
    <t>3.1.5.1</t>
  </si>
  <si>
    <t>Construir plataformas inform., comp., app. y serv. de soft. para gestionar flujo de trabajo</t>
  </si>
  <si>
    <t>3.1.5.2.1</t>
  </si>
  <si>
    <t>Manual del sistema para la gestión de flujo de trabajo</t>
  </si>
  <si>
    <t>Manual del sistema para la gestión de flujo de trabajo, incluye las especificaciones y requerimientos técnicos del sistema para la gestión de flujo de trabajo</t>
  </si>
  <si>
    <t>3.1.5.2</t>
  </si>
  <si>
    <t>Doc. ajustes a plat. inform., comp., app. y serv. de soft. para gestionar flujo de trabajo / Elaborar o actualizar la documentación del sistema para la gestión de flujo de trabajo</t>
  </si>
  <si>
    <t>A19,FI ,FVI</t>
  </si>
  <si>
    <t>3.2.1.1.1</t>
  </si>
  <si>
    <t>Documentación de las pruebas del sistema para la captación</t>
  </si>
  <si>
    <t>3.2</t>
  </si>
  <si>
    <t>Probar la infraestructura inform., comp., app., serv. de soft., y flujos de trabajo</t>
  </si>
  <si>
    <t>3.2.1</t>
  </si>
  <si>
    <t>Realizar pruebas de infraestructura inform., comp., app., serv. de soft., y flujos de trabajo</t>
  </si>
  <si>
    <t>3.2.1.1</t>
  </si>
  <si>
    <t>Realizar pruebas de funcionalidad, seguridad y estrés para el sistema de captación</t>
  </si>
  <si>
    <t>A19,FIV</t>
  </si>
  <si>
    <t>3.2.1.2.1</t>
  </si>
  <si>
    <t>Documentación de las pruebas del sistema para la codificación</t>
  </si>
  <si>
    <t>3.2.1.2</t>
  </si>
  <si>
    <t>Realizar pruebas de funcionalidad, seguridad y estrés del sistema para el procesamiento</t>
  </si>
  <si>
    <t>3.2.1.2.2</t>
  </si>
  <si>
    <t>Documentación de las pruebas del sistema para el cálculo y calibración de ponderadores</t>
  </si>
  <si>
    <t>3.2.1.2.3</t>
  </si>
  <si>
    <t>Documentación de las pruebas del sistema para la validación, edición e imputación</t>
  </si>
  <si>
    <t>3.2.1.2.4</t>
  </si>
  <si>
    <t>Documentación de las pruebas del sistema para nuevas variables o unidades</t>
  </si>
  <si>
    <t>3.2.1.2.5</t>
  </si>
  <si>
    <t>Documentación de las pruebas del sistema para el cálculo de agregaciones y medidas estadísticas</t>
  </si>
  <si>
    <t>3.2.1.3.1</t>
  </si>
  <si>
    <t>Documentación de las pruebas del sistema para el análisis de la producción</t>
  </si>
  <si>
    <t>3.2.1.3</t>
  </si>
  <si>
    <t>Realizar pruebas de funcionalidad, seguridad y estrés de sis. para análisis de la producción</t>
  </si>
  <si>
    <t>3.2.1.4.1</t>
  </si>
  <si>
    <t>Documentación de las pruebas del sistema para la difusión</t>
  </si>
  <si>
    <t>3.2.1.4</t>
  </si>
  <si>
    <t>Realizar pruebas de funcionalidad, seguridad y estrés del sistema para la difusión</t>
  </si>
  <si>
    <t>3.2.1.5.1</t>
  </si>
  <si>
    <t>Documentación de las pruebas del sistema para la gestión de flujo de trabajo</t>
  </si>
  <si>
    <t>3.2.1.5</t>
  </si>
  <si>
    <t>Verificar funcionamiento del sistema para la gestión de flujo de trabajo</t>
  </si>
  <si>
    <t>3.2.1.6.1</t>
  </si>
  <si>
    <t>Documentación integrada de las pruebas de los sistemas para la producción</t>
  </si>
  <si>
    <t>La documentación integrada de las pruebas de los sistemas para la producción, incluye:
1. Resultados y registro de ajustes del sistema de captación
2. Resultados y registro de ajustes del sistema de procesamiento
3. Resultados y registro de ajustes del sistema para el análisis de res. est. e ind. de calidad
4. Resultados y registro de ajustes del sistema de difusión
5. Resultados y registro de ajustes del sistema de flujo de trabajo</t>
  </si>
  <si>
    <t>3.2.1.6</t>
  </si>
  <si>
    <t>Integrar documentación de las pruebas de los sistemas para la producción</t>
  </si>
  <si>
    <t>3.3.1.1.1</t>
  </si>
  <si>
    <t>Tramos de control de la prueba de campo o piloto</t>
  </si>
  <si>
    <t>3.3</t>
  </si>
  <si>
    <t>Gestionar una prueba de campo o piloto de la captación, procesamiento y análisis</t>
  </si>
  <si>
    <t>3.3.1</t>
  </si>
  <si>
    <t>Preparar la prueba de campo o piloto</t>
  </si>
  <si>
    <t>3.3.1.1</t>
  </si>
  <si>
    <t>Preparar muestra y carga de trabajo para prueba de campo o piloto</t>
  </si>
  <si>
    <t>3.3.1.1.2</t>
  </si>
  <si>
    <t>Muestra para la prueba</t>
  </si>
  <si>
    <t>A18,FIII</t>
  </si>
  <si>
    <t>3.3.1.1.3</t>
  </si>
  <si>
    <t>Muestra para la prueba de campo o piloto</t>
  </si>
  <si>
    <t>3.3.1.2.1</t>
  </si>
  <si>
    <t>Resultados de la evaluación de la capacitación de la prueba de campo o piloto</t>
  </si>
  <si>
    <t>3.3.1.2</t>
  </si>
  <si>
    <t>Capacitar al personal de la prueba de campo o piloto</t>
  </si>
  <si>
    <t>3.3.1.3.1</t>
  </si>
  <si>
    <t>Logística de la prueba de campo o piloto</t>
  </si>
  <si>
    <t>3.3.1.3</t>
  </si>
  <si>
    <t>Preparar la logística para la prueba de campo o piloto</t>
  </si>
  <si>
    <t>3.3.2.1.1</t>
  </si>
  <si>
    <t>Documentación del levantamiento de la prueba de campo o piloto</t>
  </si>
  <si>
    <t>3.3.2</t>
  </si>
  <si>
    <t>Implementar la prueba de campo o piloto</t>
  </si>
  <si>
    <t>3.3.2.1</t>
  </si>
  <si>
    <t>Ejecutar el levantamiento de la prueba de campo o piloto</t>
  </si>
  <si>
    <t>A19,FVII</t>
  </si>
  <si>
    <t>3.3.2.1.2</t>
  </si>
  <si>
    <t>Datos captados de la prueba de campo o piloto</t>
  </si>
  <si>
    <t>Data set</t>
  </si>
  <si>
    <t>3.3.2.2.1</t>
  </si>
  <si>
    <t>Documentación del procesamiento de la prueba de campo o piloto</t>
  </si>
  <si>
    <t>3.3.2.2</t>
  </si>
  <si>
    <t>Ejecutar el procesamiento de la prueba de campo o piloto</t>
  </si>
  <si>
    <t>3.3.2.2.2</t>
  </si>
  <si>
    <t>Datos procesados de la prueba de campo o piloto</t>
  </si>
  <si>
    <t>3.3.2.3.1</t>
  </si>
  <si>
    <t>Documentación del análisis de la producción de la prueba de campo o piloto</t>
  </si>
  <si>
    <t>3.3.2.3</t>
  </si>
  <si>
    <t>Ejecutar el análisis de la producción de la prueba de campo o piloto</t>
  </si>
  <si>
    <t>3.3.2.3.2</t>
  </si>
  <si>
    <t>Resultados de la prueba de campo o piloto</t>
  </si>
  <si>
    <t>3.3.3.1.1</t>
  </si>
  <si>
    <t>Análisis de resultados de la prueba de campo o piloto</t>
  </si>
  <si>
    <t>3.3.3</t>
  </si>
  <si>
    <t>Evaluar la prueba de campo o piloto</t>
  </si>
  <si>
    <t>3.3.3.1</t>
  </si>
  <si>
    <t>Analizar los resultados de la prueba de campo o piloto</t>
  </si>
  <si>
    <t>3.3.3.2.1</t>
  </si>
  <si>
    <t>Documentación de mejoras a los sistemas de producción</t>
  </si>
  <si>
    <t>3.3.3.2</t>
  </si>
  <si>
    <t>Ajustar los sistemas para la producción</t>
  </si>
  <si>
    <t>3.4.1.1.1</t>
  </si>
  <si>
    <t>Notificación y reporte del despliegue del sistema para la captación en el entorno de producción</t>
  </si>
  <si>
    <t>3.4</t>
  </si>
  <si>
    <t>Desplegar los componentes, aplicaciones y servicios de software</t>
  </si>
  <si>
    <t>3.4.1</t>
  </si>
  <si>
    <t>Ensamblar y config. comp., app., serv. de soft. en producción para uso de áreas operativas</t>
  </si>
  <si>
    <t>3.4.1.1</t>
  </si>
  <si>
    <t>Desplegar y verificar el sistema para recibir datos de captación en el entorno de producción</t>
  </si>
  <si>
    <t>A18,FIV</t>
  </si>
  <si>
    <t>3.4.1.2.1</t>
  </si>
  <si>
    <t>Notificación y reporte del despliegue del sistema para la codificación</t>
  </si>
  <si>
    <t>3.4.1.2</t>
  </si>
  <si>
    <t>Desplegar y verificar el sistema para la codificación en el entorno de producción</t>
  </si>
  <si>
    <t>3.4.1.3.1</t>
  </si>
  <si>
    <t>Notificación y reporte del despliegue del sistema para la validación, edición e imputación</t>
  </si>
  <si>
    <t>3.4.1.3</t>
  </si>
  <si>
    <t>Desplegar y verificar el sist. para la validación, ed., e imputación en el entorno de prod.</t>
  </si>
  <si>
    <t>3.4.1.4.1</t>
  </si>
  <si>
    <t>Notificación y reporte del despliegue de otros sistemas para el procesamiento y análisis</t>
  </si>
  <si>
    <t>3.4.1.4</t>
  </si>
  <si>
    <t>Desplegar y verificar otros sistemas para el procesamiento y análisis</t>
  </si>
  <si>
    <t>3.4.1.5.1</t>
  </si>
  <si>
    <t>Notificación y reporte del despliegue del sistema para la captación en entorno de producción para AT</t>
  </si>
  <si>
    <t>3.4.1.5</t>
  </si>
  <si>
    <t>Desplegar y verificar el sist. para recibir datos de captación en el entorno de prod. en AT</t>
  </si>
  <si>
    <t>3.5.1.1.1</t>
  </si>
  <si>
    <t>Material de capacitación del sistema</t>
  </si>
  <si>
    <t>Material de capacitación del sistema, puede incluir: 
Programa del curso
Manual del sistema para la captación; codificación; validación, edición e imputación; cálculo de resultados estadísticos e indicadores de calidad (procesamiento y análisis)
Presentaciones para la capacitación del sistema
Procedimiento para la evaluación del curso
Constancia de participación</t>
  </si>
  <si>
    <t>3.5</t>
  </si>
  <si>
    <t>Capacitar al personal responsable en el uso de componentes, aplicaciones y servicios de software</t>
  </si>
  <si>
    <t>3.5.1</t>
  </si>
  <si>
    <t>Elaborar el material de capacitación para la operación de los sistemas</t>
  </si>
  <si>
    <t>3.5.1.1</t>
  </si>
  <si>
    <t>Elaborar el material del sistema para la captación</t>
  </si>
  <si>
    <t>3.5.1.1.2</t>
  </si>
  <si>
    <t>Listas de asistencia a cursos</t>
  </si>
  <si>
    <t>3.5.2.1.1</t>
  </si>
  <si>
    <t>Resultados de la capacitación a personal responsable del sistema para la captación en OC</t>
  </si>
  <si>
    <t>3.5.2</t>
  </si>
  <si>
    <t>Realizar las acciones de capacitación al personal responsable</t>
  </si>
  <si>
    <t>3.5.2.1</t>
  </si>
  <si>
    <t>Capacitar a personal responsable del sistema para la captación</t>
  </si>
  <si>
    <t>3.5.2.2.1</t>
  </si>
  <si>
    <t>Resultados de la capacitación a personal responsable del sistema para la codificación</t>
  </si>
  <si>
    <t>3.5.2.2</t>
  </si>
  <si>
    <t>Capacitar a personal responsable del sistema para la codificación</t>
  </si>
  <si>
    <t>3.5.2.3.1</t>
  </si>
  <si>
    <t>Resultados de la capacitación a personal responsable del sistema para validación, ed. e imputación</t>
  </si>
  <si>
    <t>3.5.2.3</t>
  </si>
  <si>
    <t>Capacitar a personal responsable del sistema para la validación, edición e imputación</t>
  </si>
  <si>
    <t>3.5.2.4.1</t>
  </si>
  <si>
    <t>Resultados de la capacitación a personal responsable de otros sistemas para procesamiento y análisis</t>
  </si>
  <si>
    <t>3.5.2.4</t>
  </si>
  <si>
    <t>Capacitar a personal responsable de otros sistemas para el procesamiento y análisis</t>
  </si>
  <si>
    <t>3.5.2.5.1</t>
  </si>
  <si>
    <t>Resultados de la capacitación a personal responsable del sistema para la captación en AT</t>
  </si>
  <si>
    <t>3.5.2.5</t>
  </si>
  <si>
    <t>Capacitar a personal responsable del sistema para la captación en AT</t>
  </si>
  <si>
    <t>4.1.1.1.1</t>
  </si>
  <si>
    <t>Plantilla del personal contratado en OC</t>
  </si>
  <si>
    <t>Fase 4</t>
  </si>
  <si>
    <t>Captación</t>
  </si>
  <si>
    <t>4.1</t>
  </si>
  <si>
    <t>Verificar que las personas, procesos y tecnología estén listos para la captación de los datos</t>
  </si>
  <si>
    <t>4.1.1</t>
  </si>
  <si>
    <t>Contratar personal y preparar logística para la captación</t>
  </si>
  <si>
    <t>4.1.1.1</t>
  </si>
  <si>
    <t>Realizar las contrataciones pertinentes en OC</t>
  </si>
  <si>
    <t>A22,FII,Ia</t>
  </si>
  <si>
    <t>4.1.1.2.1</t>
  </si>
  <si>
    <t>Plantilla del personal contratado en AT</t>
  </si>
  <si>
    <t>4.1.1.2</t>
  </si>
  <si>
    <t>Realizar las contrataciones pertinentes en AT</t>
  </si>
  <si>
    <t>4.1.1.3.1</t>
  </si>
  <si>
    <t>Cronograma general del operativo de captación</t>
  </si>
  <si>
    <t>4.1.1.3</t>
  </si>
  <si>
    <t>Preparar el esquema de captación</t>
  </si>
  <si>
    <t>A23,FII</t>
  </si>
  <si>
    <t>4.1.1.3.2</t>
  </si>
  <si>
    <t>Formatos para el seguimiento y control del operativo</t>
  </si>
  <si>
    <t>4.1.1.3.3</t>
  </si>
  <si>
    <t>Procedimientos específicos para la logística del levantamiento</t>
  </si>
  <si>
    <t>A22,FII,Ie</t>
  </si>
  <si>
    <t>4.1.1.4.1</t>
  </si>
  <si>
    <t>Cargas de trabajo y tramos de control</t>
  </si>
  <si>
    <t>4.1.1.4</t>
  </si>
  <si>
    <t>Asignar cargas de trabajo y tramos de control en AT</t>
  </si>
  <si>
    <t>4.1.1.4.2</t>
  </si>
  <si>
    <t>Esquema de captación</t>
  </si>
  <si>
    <t>4.1.1.4.3</t>
  </si>
  <si>
    <t>Conclusión de captura de planeación</t>
  </si>
  <si>
    <t>Conclusión de captura de planeación, se refiere a la planeación a detalle con la que se inicia la captación.</t>
  </si>
  <si>
    <t>A22; LCO A9,FI</t>
  </si>
  <si>
    <t>4.1.1.5.1</t>
  </si>
  <si>
    <t>Resultado de visitas realizadas</t>
  </si>
  <si>
    <t>4.1.1.5</t>
  </si>
  <si>
    <t>Concertar entrevista con los informantes</t>
  </si>
  <si>
    <t>A23,FIII</t>
  </si>
  <si>
    <t>Process metric</t>
  </si>
  <si>
    <t>4.1.1.7.1</t>
  </si>
  <si>
    <t>Informe de las acciones de comunicación y concertación</t>
  </si>
  <si>
    <t>4.1.1.7</t>
  </si>
  <si>
    <t>Implementar estrategia para la comunicación y concertación desde OC</t>
  </si>
  <si>
    <t>A22,FII,Ib</t>
  </si>
  <si>
    <t>4.1.1.8.1</t>
  </si>
  <si>
    <t>Cartografía para el operativo</t>
  </si>
  <si>
    <t>4.1.1.8</t>
  </si>
  <si>
    <t>Enumerar la unidad de observación</t>
  </si>
  <si>
    <t>Register</t>
  </si>
  <si>
    <t>4.1.2.1.1</t>
  </si>
  <si>
    <t>Listado de recursos materiales disponibles</t>
  </si>
  <si>
    <t>4.1.2</t>
  </si>
  <si>
    <t>Configurar sistema, equipos y materiales para la captación</t>
  </si>
  <si>
    <t>4.1.2.1</t>
  </si>
  <si>
    <t>Asegurar recursos materiales y equipo para la captación</t>
  </si>
  <si>
    <t>A22,FII,Id</t>
  </si>
  <si>
    <t>4.1.2.1.2</t>
  </si>
  <si>
    <t>Listado de equipos disponibles</t>
  </si>
  <si>
    <t>4.1.2.2.1</t>
  </si>
  <si>
    <t>Notificación VCF de aceptación de suficiencia de mat. y eq. de captación y capacitación</t>
  </si>
  <si>
    <t>4.1.2.2</t>
  </si>
  <si>
    <t>Enviar listados, recursos materiales y equipo para la captación en ámbito territorial</t>
  </si>
  <si>
    <t>A22,FII,Id; LCO A9,FII</t>
  </si>
  <si>
    <t>4.1.2.3.1</t>
  </si>
  <si>
    <t>Listado de entrega o devolución de materiales, equipos para la captación y manuales</t>
  </si>
  <si>
    <t>4.1.2.3</t>
  </si>
  <si>
    <t>Verificar recursos materiales y equipo para el operativo de campo</t>
  </si>
  <si>
    <t>4.1.2.3.2</t>
  </si>
  <si>
    <t>Notificación DI-DGOR de disponibilidad de sistemas para capacitación</t>
  </si>
  <si>
    <t>4.1.2.4.1</t>
  </si>
  <si>
    <t>Plataforma de consulta para el ámbito territorial</t>
  </si>
  <si>
    <t>Plataforma de consulta para el ámbito territorial, incluye:
1. Con requerimientos y dudas del operativo
2. Respuestas a requerimientos y dudas</t>
  </si>
  <si>
    <t>4.1.2.4</t>
  </si>
  <si>
    <t>Configurar sistema para captación, validación, codificación e int. de datos captados</t>
  </si>
  <si>
    <t>A22,FIII</t>
  </si>
  <si>
    <t>4.1.2.5.1</t>
  </si>
  <si>
    <t>Notificación de sistemas listos para el operativo de campo en OC</t>
  </si>
  <si>
    <t>4.1.2.5</t>
  </si>
  <si>
    <t>Comprobar sistemas para garantizar la seguridad de los datos que son captados en OC</t>
  </si>
  <si>
    <t>A22,FII,Ig</t>
  </si>
  <si>
    <t>4.1.2.6.1</t>
  </si>
  <si>
    <t>Listado de equipos verificados en AT</t>
  </si>
  <si>
    <t>4.1.2.6</t>
  </si>
  <si>
    <t>Comprobar sistemas y equipos listos para captación y envío de datos</t>
  </si>
  <si>
    <t>A22,FII,Id; LCO A9,FIII</t>
  </si>
  <si>
    <t>4.1.2.6.2</t>
  </si>
  <si>
    <t>Aviso de disponibilidad de los sistemas computacionales para la captación</t>
  </si>
  <si>
    <t>A22,FII,Ig; LCO A9,FIII</t>
  </si>
  <si>
    <t>4.1.2.7.1</t>
  </si>
  <si>
    <t>Cuestionario y materiales impresos</t>
  </si>
  <si>
    <t>4.1.2.7</t>
  </si>
  <si>
    <t>Imprimir y prellenar cuestionarios y materiales en AT</t>
  </si>
  <si>
    <t>4.1.2.8.1</t>
  </si>
  <si>
    <t>Reporte de materiales, equipos y suministros distribuidos</t>
  </si>
  <si>
    <t>4.1.2.8</t>
  </si>
  <si>
    <t>Distribuir los materiales, equipos y suministros al personal que realiza la captación</t>
  </si>
  <si>
    <t>4.1.2.9.1</t>
  </si>
  <si>
    <t>Relación de recursos asignados</t>
  </si>
  <si>
    <t>4.1.2.9</t>
  </si>
  <si>
    <t>Gestionar la ministración de recursos para el personal que realiza la captación</t>
  </si>
  <si>
    <t>4.1.3.1.1</t>
  </si>
  <si>
    <t>Reporte de la capacitación a personal para la captación en OC</t>
  </si>
  <si>
    <t>Reporte de la capacitación, incluye:
1. Listado de las personas capacitadas 
2. Retroalimentación del curso</t>
  </si>
  <si>
    <t>4.1.3</t>
  </si>
  <si>
    <t>Preparar los recursos humanos para la captación</t>
  </si>
  <si>
    <t>4.1.3.1</t>
  </si>
  <si>
    <t>Capacitar al personal para la captación en OC</t>
  </si>
  <si>
    <t>A22,FII,Ic</t>
  </si>
  <si>
    <t>4.1.3.1.2</t>
  </si>
  <si>
    <t>Evaluación del personal capacitado para la captación en OC</t>
  </si>
  <si>
    <t>4.1.3.2.1</t>
  </si>
  <si>
    <t>Reporte de VCF de capacitación</t>
  </si>
  <si>
    <t>Reporte de VCF de capacitación, incluye:
1. Listado de las personas capacitadas 
2. Retroalimentación del curso</t>
  </si>
  <si>
    <t>4.1.3.2</t>
  </si>
  <si>
    <t>Capacitar al personal para la captación en AT</t>
  </si>
  <si>
    <t>A22,FII,Ic; LCO A9,FIV</t>
  </si>
  <si>
    <t>4.1.3.2.2</t>
  </si>
  <si>
    <t>Evaluación de figuras operativas capacitadas en AT</t>
  </si>
  <si>
    <t>4.1.3.2.3</t>
  </si>
  <si>
    <t>Informe de capacitación (de VCF a RF)</t>
  </si>
  <si>
    <t>4.1.3.3.1</t>
  </si>
  <si>
    <t>Reporte de la capacitación a personal para la codificación en OC</t>
  </si>
  <si>
    <t>4.1.3.3</t>
  </si>
  <si>
    <t>Capacitar al personal para la codificación en OC</t>
  </si>
  <si>
    <t>4.1.3.3.2</t>
  </si>
  <si>
    <t>Evaluación del personal capacitado para la codificación en OC</t>
  </si>
  <si>
    <t>4.1.3.4.1</t>
  </si>
  <si>
    <t>Reporte de la capacitación al personal para la validación, edición e imputación en OC</t>
  </si>
  <si>
    <t>4.1.3.4</t>
  </si>
  <si>
    <t>Capacitar al personal para la validación, edición e imputación en OC</t>
  </si>
  <si>
    <t>4.1.3.4.2</t>
  </si>
  <si>
    <t>Evaluación del personal capacitado para la validación, edición e imputación en OC</t>
  </si>
  <si>
    <t>4.2.1.1.1</t>
  </si>
  <si>
    <t>Resultado de la entrevista</t>
  </si>
  <si>
    <t>4.2</t>
  </si>
  <si>
    <t>Implementar la captación de información</t>
  </si>
  <si>
    <t>4.2.1</t>
  </si>
  <si>
    <t>Realizar captación con los instrumentos de captación, protocolos y canales de int. diseñados</t>
  </si>
  <si>
    <t>4.2.1.1</t>
  </si>
  <si>
    <t>Efectuar las entrevistas</t>
  </si>
  <si>
    <t>4.2.1.1.2</t>
  </si>
  <si>
    <t>Datos captados de los informantes en papel (en caso de ser necesario)</t>
  </si>
  <si>
    <t>A23,FII;A23,FIV; DTMARA IV.3</t>
  </si>
  <si>
    <t>4.2.1.1.3</t>
  </si>
  <si>
    <t>Datos de los cuestionarios en el sistema para la captación</t>
  </si>
  <si>
    <t>4.2.1.2.1</t>
  </si>
  <si>
    <t>Reporte de captación, supervisión y seguimiento</t>
  </si>
  <si>
    <t>4.2.1.2</t>
  </si>
  <si>
    <t>Supervisar, dar seguimiento y asistencia a la captación en AT</t>
  </si>
  <si>
    <t>A23,FIII; LCO A9,FIV</t>
  </si>
  <si>
    <t>4.2.1.2.2</t>
  </si>
  <si>
    <t>Notificación de VCF de recepción en tiempo según lo previsto de sistemas para la captación</t>
  </si>
  <si>
    <t>A22,FIII; LCO A9,FIII</t>
  </si>
  <si>
    <t>4.2.1.3.1</t>
  </si>
  <si>
    <t>Reporte de seguimiento, avance y cifras de control en OC</t>
  </si>
  <si>
    <t>4.2.1.3</t>
  </si>
  <si>
    <t>Supervisar, dar seguimiento y asistencia a la captación en OC</t>
  </si>
  <si>
    <t>4.2.1.4.1</t>
  </si>
  <si>
    <t>Bitácora de captura</t>
  </si>
  <si>
    <t>4.2.1.4</t>
  </si>
  <si>
    <t>Capturar los datos</t>
  </si>
  <si>
    <t>A23,FI</t>
  </si>
  <si>
    <t>4.2.1.5.1</t>
  </si>
  <si>
    <t>Reporte de validación del operativo</t>
  </si>
  <si>
    <t>4.2.1.5</t>
  </si>
  <si>
    <t>Validar los datos captados en AT</t>
  </si>
  <si>
    <t>4.2.1.5.2</t>
  </si>
  <si>
    <t>Datos de validación de campo en el sistema para la captación</t>
  </si>
  <si>
    <t>4.2.1.6.1</t>
  </si>
  <si>
    <t>Reporte de verificación y ajustes</t>
  </si>
  <si>
    <t>4.2.1.6</t>
  </si>
  <si>
    <t>Verificar y ajustar datos en instancia de supervisión o con informante</t>
  </si>
  <si>
    <t>4.2.1.7.1</t>
  </si>
  <si>
    <t>Datos de cuestionarios liberados en AT</t>
  </si>
  <si>
    <t>4.2.1.7</t>
  </si>
  <si>
    <t>Liberar y enviar los datos para concentración en AT</t>
  </si>
  <si>
    <t>4.2.1.8.1</t>
  </si>
  <si>
    <t>Datos integrados en servidor de AT</t>
  </si>
  <si>
    <t>4.2.1.8</t>
  </si>
  <si>
    <t>Concentrar y enviar datos a OC</t>
  </si>
  <si>
    <t>4.2.1.9.1</t>
  </si>
  <si>
    <t>Notificación de recepción y verificación de los datos</t>
  </si>
  <si>
    <t>4.2.1.9</t>
  </si>
  <si>
    <t>Recibir y verificar la estructura e integridad de los datos</t>
  </si>
  <si>
    <t>4.2.1.9.2</t>
  </si>
  <si>
    <t>Datos de captación concentrados y verificados</t>
  </si>
  <si>
    <t>4.2.1.9.3</t>
  </si>
  <si>
    <t>Metadatos del proceso de captación de datos</t>
  </si>
  <si>
    <t>A22,FIV,A23,FIV</t>
  </si>
  <si>
    <t>4.2.1.10.1</t>
  </si>
  <si>
    <t>Reporte integrado de la captación</t>
  </si>
  <si>
    <t>4.2.1.10</t>
  </si>
  <si>
    <t>Generar reporte de la captación</t>
  </si>
  <si>
    <t>4.2.1.11.1</t>
  </si>
  <si>
    <t>Informe de supervisión</t>
  </si>
  <si>
    <t>4.2.1.11</t>
  </si>
  <si>
    <t>Elaborar el reporte de supervisión y seguimiento de la captación</t>
  </si>
  <si>
    <t>A22,FIII; LCO A9,FIV</t>
  </si>
  <si>
    <t>4.2.1.11.2</t>
  </si>
  <si>
    <t>Notificación de VCF a RF del reporte de bitácoras de supervisión y seguimiento</t>
  </si>
  <si>
    <t>A22,FIII; LCO A8,FXI</t>
  </si>
  <si>
    <t>4.3.1.1.1</t>
  </si>
  <si>
    <t>Conjunto de datos captados</t>
  </si>
  <si>
    <t>Conjunto de datos captados, incluye datos complementarios</t>
  </si>
  <si>
    <t>4.3</t>
  </si>
  <si>
    <t>Crear el conjunto de datos captados</t>
  </si>
  <si>
    <t>4.3.1</t>
  </si>
  <si>
    <t>4.3.1.1</t>
  </si>
  <si>
    <t>Organizar los datos captados y sus metadatos en un formato adecuado</t>
  </si>
  <si>
    <t>A23,FIV</t>
  </si>
  <si>
    <t>4.3.1.2.1</t>
  </si>
  <si>
    <t>Documento operativo</t>
  </si>
  <si>
    <t>4.3.1.2</t>
  </si>
  <si>
    <t>Documentar la captación</t>
  </si>
  <si>
    <t>5.1.1.1.1</t>
  </si>
  <si>
    <t>Datos complementarios seleccionados</t>
  </si>
  <si>
    <t>Fase 5</t>
  </si>
  <si>
    <t>Procesamiento</t>
  </si>
  <si>
    <t>5.1</t>
  </si>
  <si>
    <t>Integrar los datos de una o más fuentes</t>
  </si>
  <si>
    <t>5.1.1</t>
  </si>
  <si>
    <t>Realizar la integración de los datos de una o más fuentes</t>
  </si>
  <si>
    <t>5.1.1.1</t>
  </si>
  <si>
    <t>Seleccionar datos a integrar</t>
  </si>
  <si>
    <t>A25,FI</t>
  </si>
  <si>
    <t>5.1.1.2.1</t>
  </si>
  <si>
    <t>Metadatos del proceso de integración del conjunto de datos</t>
  </si>
  <si>
    <t>5.1.1.2</t>
  </si>
  <si>
    <t>Integrar el conjunto de datos para procesamiento</t>
  </si>
  <si>
    <t>5.2.1.1.1</t>
  </si>
  <si>
    <t>Variables o registros por clasificar, codificar y geoprocesar</t>
  </si>
  <si>
    <t>5.2</t>
  </si>
  <si>
    <t>Clasificar, codificar y geoprocesar datos</t>
  </si>
  <si>
    <t>5.2.1</t>
  </si>
  <si>
    <t>Realizar la clasificación, codificación y geoprocesamiento de datos</t>
  </si>
  <si>
    <t>5.2.1.1</t>
  </si>
  <si>
    <t>Identificar variables o registros por clasificar, codificar y geoprocesar</t>
  </si>
  <si>
    <t>A25,FII</t>
  </si>
  <si>
    <t>5.2.1.2.1</t>
  </si>
  <si>
    <t>Metadatos del proceso de clasificación, codificación y geoprocesamiento de los datos</t>
  </si>
  <si>
    <t>5.2.1.2</t>
  </si>
  <si>
    <t>Clasificar, codificar y geoprocesar automáticamente los datos</t>
  </si>
  <si>
    <t>5.2.1.2.2</t>
  </si>
  <si>
    <t>Conjunto de datos con variables clasificadas, codificadas y geoprocesadas</t>
  </si>
  <si>
    <t>5.3.1.1.1</t>
  </si>
  <si>
    <t>Registros detectados con inconsistencias en los datos</t>
  </si>
  <si>
    <t>5.3</t>
  </si>
  <si>
    <t>Validar datos</t>
  </si>
  <si>
    <t>5.3.1</t>
  </si>
  <si>
    <t>Realizar la validación de datos</t>
  </si>
  <si>
    <t>5.3.1.1</t>
  </si>
  <si>
    <t>Seleccionar datos a validar</t>
  </si>
  <si>
    <t>A25,FIII</t>
  </si>
  <si>
    <t>Data set, Assessment</t>
  </si>
  <si>
    <t>5.3.1.2.1</t>
  </si>
  <si>
    <t>Metadatos del proceso de validación de datos (bitácora de validación)</t>
  </si>
  <si>
    <t>5.3.1.2</t>
  </si>
  <si>
    <t>Validar automáticamente los datos</t>
  </si>
  <si>
    <t>5.3.1.2.2</t>
  </si>
  <si>
    <t>Conjunto de datos validado</t>
  </si>
  <si>
    <t>5.4.1.1.1</t>
  </si>
  <si>
    <t>Registro de determinación de uso para edición e imputación</t>
  </si>
  <si>
    <t>5.4</t>
  </si>
  <si>
    <t>Editar e imputar datos</t>
  </si>
  <si>
    <t>5.4.1</t>
  </si>
  <si>
    <t>Realizar la edición e imputación de datos</t>
  </si>
  <si>
    <t>5.4.1.1</t>
  </si>
  <si>
    <t>Determinar si se agregan o se cambian los datos</t>
  </si>
  <si>
    <t>A25,FIV</t>
  </si>
  <si>
    <t>5.4.1.2.1</t>
  </si>
  <si>
    <t>Selección de la metodología para la edición e imputación</t>
  </si>
  <si>
    <t>5.4.1.2</t>
  </si>
  <si>
    <t>Seleccionar método a utilizar</t>
  </si>
  <si>
    <t>A25,FIV,Ib</t>
  </si>
  <si>
    <t>Reference metadata set, Process method</t>
  </si>
  <si>
    <t>5.4.1.3.1</t>
  </si>
  <si>
    <t>Conjunto de datos con edición e imputación</t>
  </si>
  <si>
    <t>5.4.1.3</t>
  </si>
  <si>
    <t>Añadir o cambiar valores y marcarlos en el nuevo conjunto de datos</t>
  </si>
  <si>
    <t>5.4.1.4.1</t>
  </si>
  <si>
    <t>Metadatos del proceso de edición e imputación de datos</t>
  </si>
  <si>
    <t>5.4.1.4</t>
  </si>
  <si>
    <t>Elaborar metadatos del proceso de edición e imputación</t>
  </si>
  <si>
    <t>5.5.1.1.1</t>
  </si>
  <si>
    <t>Selección del método de derivación</t>
  </si>
  <si>
    <t>5.5</t>
  </si>
  <si>
    <t>Derivar datos</t>
  </si>
  <si>
    <t>5.5.1</t>
  </si>
  <si>
    <t>Realizar la derivación de datos para variables y unidades</t>
  </si>
  <si>
    <t>5.5.1.1</t>
  </si>
  <si>
    <t>Seleccionar método de derivación</t>
  </si>
  <si>
    <t>A25,FV</t>
  </si>
  <si>
    <t>Information set</t>
  </si>
  <si>
    <t>5.5.1.2.1</t>
  </si>
  <si>
    <t>Conjunto de datos con variables derivadas y datos auxiliares</t>
  </si>
  <si>
    <t>5.5.1.2</t>
  </si>
  <si>
    <t>Producir variables y unidades derivadas no provistas</t>
  </si>
  <si>
    <t>5.5.1.3.1</t>
  </si>
  <si>
    <t>Metadatos del proceso de variables derivadas y datos auxiliares</t>
  </si>
  <si>
    <t>5.5.1.3</t>
  </si>
  <si>
    <t>Generar informe de derivación de variables</t>
  </si>
  <si>
    <t>5.6.1.1.1</t>
  </si>
  <si>
    <t>Conjunto de datos con ponderadores</t>
  </si>
  <si>
    <t>5.6</t>
  </si>
  <si>
    <t>Generar ponderaciones</t>
  </si>
  <si>
    <t>5.6.1</t>
  </si>
  <si>
    <t>Elaborar ponderadores de acuerdo con la metodología especificada</t>
  </si>
  <si>
    <t>5.6.1.1</t>
  </si>
  <si>
    <t>Calcular y calibrar ponderadores</t>
  </si>
  <si>
    <t>A25,FVI</t>
  </si>
  <si>
    <t>5.6.1.2.1</t>
  </si>
  <si>
    <t>Metadatos del proceso de cálculo y calibración de ponderadores</t>
  </si>
  <si>
    <t>5.6.1.2</t>
  </si>
  <si>
    <t>Validar ponderadores</t>
  </si>
  <si>
    <t>A26,FIV</t>
  </si>
  <si>
    <t>5.7.1.1.1</t>
  </si>
  <si>
    <t>Metadatos del proceso de cálculo de datos agregados e indicadores objetivo</t>
  </si>
  <si>
    <t>5.7</t>
  </si>
  <si>
    <t>Crear datos agregados</t>
  </si>
  <si>
    <t>5.7.1</t>
  </si>
  <si>
    <t>Generar datos agregados a partir de microdatos o agregados de menor nivel</t>
  </si>
  <si>
    <t>5.7.1.1</t>
  </si>
  <si>
    <t>Calcular datos agregados e indicadores objetivo</t>
  </si>
  <si>
    <t>A25,FVII</t>
  </si>
  <si>
    <t>5.7.1.1.2</t>
  </si>
  <si>
    <t>Datos agregados e indicadores objetivo</t>
  </si>
  <si>
    <t>5.7.1.2.1</t>
  </si>
  <si>
    <t>Metadatos del proceso del cálculo de estadísticas complementarias</t>
  </si>
  <si>
    <t>5.7.1.2</t>
  </si>
  <si>
    <t>Calcular estadísticas complementarias</t>
  </si>
  <si>
    <t>5.7.1.2.2</t>
  </si>
  <si>
    <t>Medidas de estadísticas complementarias</t>
  </si>
  <si>
    <t>5.7.1.3.1</t>
  </si>
  <si>
    <t>Metadatos del proceso de cálculo de errores e indicadores de precisión</t>
  </si>
  <si>
    <t>5.7.1.3</t>
  </si>
  <si>
    <t>Calcular errores de muestreo e indicadores de precisión</t>
  </si>
  <si>
    <t>5.7.1.3.2</t>
  </si>
  <si>
    <t>Errores e indicadores de precisión</t>
  </si>
  <si>
    <t>5.8.1.1.1</t>
  </si>
  <si>
    <t>Conjunto de datos procesados</t>
  </si>
  <si>
    <t>Conjunto de datos procesados (formato requerido, p. e. SDMX, CSV)</t>
  </si>
  <si>
    <t>5.8</t>
  </si>
  <si>
    <t>Crear el conjunto de datos procesados</t>
  </si>
  <si>
    <t>5.8.1</t>
  </si>
  <si>
    <t>Generar el conjunto de datos procesados agregando los resultados, datos y metadatos</t>
  </si>
  <si>
    <t>5.8.1.1</t>
  </si>
  <si>
    <t>Integrar y generar el conjunto de datos procesados</t>
  </si>
  <si>
    <t>A26,FIII; FLA 5.8.3</t>
  </si>
  <si>
    <t>5.8.1.1.2</t>
  </si>
  <si>
    <t>Metadatos del procesamiento</t>
  </si>
  <si>
    <t>Metadatos del procesamiento, incluye: 
1. Metadatos del proceso de integración del conjunto de datos
2. Metadatos del proceso de clasificación y codificación y geoprocesamiento de los datos
3. Metadatos del proceso de validación de datos (bitácora de validación)
4. Metadatos del proceso de edición e imputación de datos
5. Metadatos del proceso de variables derivadas y datos auxiliares
6. Metadatos del proceso de cálculo y calibración de ponderadores
7. Metadatos del proceso de cálculo de datos agregados e indicadores objetivo
8. Metadatos del proceso del cálculo de estadísticas complementarias
9. Metadatos del proceso de cálculo de errores e indicadores de precisión</t>
  </si>
  <si>
    <t>A24</t>
  </si>
  <si>
    <t>6.1.1.1.1</t>
  </si>
  <si>
    <t>Conjunto de resultados estadísticos</t>
  </si>
  <si>
    <t>Fase 6</t>
  </si>
  <si>
    <t>Análisis de la producción</t>
  </si>
  <si>
    <t>6.1</t>
  </si>
  <si>
    <t>Producir resultados estadísticos y geográficos</t>
  </si>
  <si>
    <t>6.1.1</t>
  </si>
  <si>
    <t>Producir medidas adicionales asociadas a la inf. y resultados estadísticos y geográficos</t>
  </si>
  <si>
    <t>6.1.1.1</t>
  </si>
  <si>
    <t>Calcular resultados estadísticos y geográficos</t>
  </si>
  <si>
    <t>A29,FI</t>
  </si>
  <si>
    <t>6.1.1.1.2</t>
  </si>
  <si>
    <t>Metadatos del proceso de cálculo de resultados estadísticos</t>
  </si>
  <si>
    <t>A29,FII</t>
  </si>
  <si>
    <t>6.1.1.2.1</t>
  </si>
  <si>
    <t>Metadatos del proceso de índices, tendencias y otras medidas estadísticas</t>
  </si>
  <si>
    <t>6.1.1.2</t>
  </si>
  <si>
    <t>Producir índices, tendencias y otras medidas estadísticas y geográficas</t>
  </si>
  <si>
    <t>6.1.1.2.2</t>
  </si>
  <si>
    <t>Índices, tendencias y otras medidas estadísticas</t>
  </si>
  <si>
    <t>6.1.1.3.1</t>
  </si>
  <si>
    <t>Metadatos del proceso de cálculo de indicadores de calidad</t>
  </si>
  <si>
    <t>6.1.1.3</t>
  </si>
  <si>
    <t>Calcular indicadores de calidad</t>
  </si>
  <si>
    <t>6.1.1.3.2</t>
  </si>
  <si>
    <t>Indicadores de calidad</t>
  </si>
  <si>
    <t>A28,FIV,Ic; DTMARA VI.1</t>
  </si>
  <si>
    <t>6.2.1.1.1</t>
  </si>
  <si>
    <t>Reporte de la confiabilidad de los datos</t>
  </si>
  <si>
    <t>6.2</t>
  </si>
  <si>
    <t>Verificar la calidad de los resultados obtenidos</t>
  </si>
  <si>
    <t>6.2.1</t>
  </si>
  <si>
    <t>Realizar verificación de la calidad de los resultados obtenidos</t>
  </si>
  <si>
    <t>6.2.1.1</t>
  </si>
  <si>
    <t>Comprobar la confiabilidad de los datos conforme a los indicadores de precisión</t>
  </si>
  <si>
    <t>6.2.1.2.1</t>
  </si>
  <si>
    <t>Reporte de comparabilidad con otros ciclos</t>
  </si>
  <si>
    <t>6.2.1.2</t>
  </si>
  <si>
    <t>Comparar los resultados con ciclos anteriores</t>
  </si>
  <si>
    <t>6.2.1.4.1</t>
  </si>
  <si>
    <t>Reporte de consistencia con otras fuentes</t>
  </si>
  <si>
    <t>6.2.1.4</t>
  </si>
  <si>
    <t>Confrontar los resultados con otras fuentes de información</t>
  </si>
  <si>
    <t>6.2.1.5.1</t>
  </si>
  <si>
    <t>Reporte de análisis de inconsistencias</t>
  </si>
  <si>
    <t>6.2.1.5</t>
  </si>
  <si>
    <t>Analizar y documentar inconsistencias</t>
  </si>
  <si>
    <t>6.2.1.6.1</t>
  </si>
  <si>
    <t>Justificación de validez de resultados</t>
  </si>
  <si>
    <t>6.2.1.6</t>
  </si>
  <si>
    <t>Validar los resultados en comparación con las expectativas y la información existente</t>
  </si>
  <si>
    <t>A28,FII,Ig; DTMARA VI.2</t>
  </si>
  <si>
    <t>6.3.1.1.1</t>
  </si>
  <si>
    <t>Modelo de base de datos (actualizado)</t>
  </si>
  <si>
    <t>6.3</t>
  </si>
  <si>
    <t>Resguardar y conservar la información</t>
  </si>
  <si>
    <t>6.3.1</t>
  </si>
  <si>
    <t>Realizar el resguardo y conservación de la información</t>
  </si>
  <si>
    <t>6.3.1.1</t>
  </si>
  <si>
    <t>Aplicar lineamientos de confidencialidad</t>
  </si>
  <si>
    <t>6.3.1.1.2</t>
  </si>
  <si>
    <t>Conjunto de datos con controles de difusión</t>
  </si>
  <si>
    <t>Conjunto de datos con controles de difusión, incluye los resultados estadísticos y sus indicadores de calidad</t>
  </si>
  <si>
    <t>A29,FI; A28,FIII; DTMARA VI.3</t>
  </si>
  <si>
    <t>6.3.1.2.1</t>
  </si>
  <si>
    <t>Formato de registro en el RBD&amp;RIE</t>
  </si>
  <si>
    <t>6.3.1.2</t>
  </si>
  <si>
    <t>Resguardar la información</t>
  </si>
  <si>
    <t>A28,FIII</t>
  </si>
  <si>
    <t>6.4.1.1.1</t>
  </si>
  <si>
    <t>Metadatos del conjunto de información</t>
  </si>
  <si>
    <t>6.4</t>
  </si>
  <si>
    <t>Finalizar la producción de resultados</t>
  </si>
  <si>
    <t>6.4.1</t>
  </si>
  <si>
    <t>Crear el conjunto de información</t>
  </si>
  <si>
    <t>6.4.1.1</t>
  </si>
  <si>
    <t>Completar revisiones de consistencia e integrar el conjunto de información</t>
  </si>
  <si>
    <t>6.4.1.1.2</t>
  </si>
  <si>
    <t>Conjunto de información</t>
  </si>
  <si>
    <t>Conjunto de información, incluye:
1. Los microdatos del proceso de producción en los diversos formatos acordados (CSV, DBF, SAS, SAV, STATA, etc.)
2. Conjunto de datos abiertos
3. Tabulados estadísticos
4. Gráficas
5. Indicadores estadísticos
6. Indicadores de calidad
7. Metadatos referenciales
8. Diccionarios de datos
9. Publicaciones electrónicas para impresión
10. Notas técnicas 
11. Comunicados de prensa</t>
  </si>
  <si>
    <t>6.4.1.3.1</t>
  </si>
  <si>
    <t>Notas técnicas</t>
  </si>
  <si>
    <t>6.4.1.3</t>
  </si>
  <si>
    <t>Recopilar y complementar información de soporte para publicación</t>
  </si>
  <si>
    <t>A28,FIV,Ic</t>
  </si>
  <si>
    <t>Process output</t>
  </si>
  <si>
    <t>6.4.1.3.2</t>
  </si>
  <si>
    <t>Publicaciones electrónicas</t>
  </si>
  <si>
    <t>6.4.1.3.3</t>
  </si>
  <si>
    <t>Comunicados de prensa</t>
  </si>
  <si>
    <t>6.4.1.4.1</t>
  </si>
  <si>
    <t>Notificación de liberación de la información a publicar</t>
  </si>
  <si>
    <t>6.4.1.4</t>
  </si>
  <si>
    <t>Aprobar contenido estadístico para publicación y elaborar doc. de análisis de la producción</t>
  </si>
  <si>
    <t>A30,FI</t>
  </si>
  <si>
    <t>6.4.1.4.2</t>
  </si>
  <si>
    <t>Documento de análisis de la producción</t>
  </si>
  <si>
    <t>El documento de análisis de la producción contiene:
1. Revisión de los indicadores de calidad
2. Verificación de la consistencia de la información generada con otras fuentes y tendencias
3. Análisis de la no respuesta y/o los sesgos
4. Comprobación de comparabilidad
5. Discusión de los resultados, y otros elementos que permitan emitir las advertencias necesarias para que los usuarios hagan un uso adecuado a los resultados generados</t>
  </si>
  <si>
    <t>A29,FII; DTMARA VI</t>
  </si>
  <si>
    <t>7.1.1.2.1</t>
  </si>
  <si>
    <t>Documentos metodológicos</t>
  </si>
  <si>
    <t>Documentos metodológicos, incluye: 
1. Marco conceptual
2. Cuestionario
3. Documento operativo
4. Documento del diseño muestral
5. Manuales operativos
6. Publicaciones electrónicas</t>
  </si>
  <si>
    <t>Fase 7</t>
  </si>
  <si>
    <t>Difusión</t>
  </si>
  <si>
    <t>Cargar los datos y metadatos a ser publicados</t>
  </si>
  <si>
    <t>7.1.1</t>
  </si>
  <si>
    <t>Realizar la carga de datos y metadatos</t>
  </si>
  <si>
    <t>7.1.1.2</t>
  </si>
  <si>
    <t>Cargar los metadatos y metodologías a ser publicados</t>
  </si>
  <si>
    <t>A32,FII</t>
  </si>
  <si>
    <t>7.1.1.2.2</t>
  </si>
  <si>
    <t>Metadatos en el sitio de pruebas del sistema de difusión de metadatos</t>
  </si>
  <si>
    <t>7.2.1.2.1</t>
  </si>
  <si>
    <t>Reportes, acuses u oficios de entrega-recepción entre las UA productoras y la DGCSPIRI</t>
  </si>
  <si>
    <t>Observar, coordinar y gestionar la publicación de la información</t>
  </si>
  <si>
    <t>7.2.1</t>
  </si>
  <si>
    <t>Aplicar acuerdos y protocolos, coordinar y gestionar la publicación de la información</t>
  </si>
  <si>
    <t>7.2.1.2</t>
  </si>
  <si>
    <t>Establecer la coordinación entre el área productora y la de difusión</t>
  </si>
  <si>
    <t>A33,FII</t>
  </si>
  <si>
    <t>7.2.1.3.1</t>
  </si>
  <si>
    <t>Imagen de productos, presentaciones publicadas, metadatos y documentos asociados</t>
  </si>
  <si>
    <t>Imagen de productos, presentaciones publicadas, metadatos y documentos asociados, incluye:
1. Documentos metodológicos publicados
2. Conjunto de información (publicada)
3. Publicación de productos derivados (SDMX, BISE, etc.)
4. Infraestructura de información utilizada (publicación o vínculos)</t>
  </si>
  <si>
    <t>7.2.1.3</t>
  </si>
  <si>
    <t>Publicar la información, incluyendo la información complementaria</t>
  </si>
  <si>
    <t>A33,FI</t>
  </si>
  <si>
    <t>7.2.1.4.1</t>
  </si>
  <si>
    <t>Información de Interés Nacional publicada en el Sitio del SNIEG (Vínculos al sitio del INEGI)</t>
  </si>
  <si>
    <t>Información de Interés Nacional publicada en el Sitio del SNIEG, corresponde a los vínculos al sitio del INEGI de:
1. Los microdatos del proceso de producción en los diversos formatos acordados (CSV, DBF, SAS, SAV, STATA, etc.)
2. Conjunto de datos abiertos
3. Tabulados estadísticos
4. Gráficas
5. Indicadores estadísticos
6. Indicadores de calidad
7. Metadatos referenciales
8. Diccionarios de datos
9. Publicaciones electrónicas para impresión
10. Notas técnicas 
11. Comunicados de prensa</t>
  </si>
  <si>
    <t>7.2.1.4</t>
  </si>
  <si>
    <t>Gestionar la incorporación en el acervo de IIN</t>
  </si>
  <si>
    <t>A33,FIII; DTMARA VII.5</t>
  </si>
  <si>
    <t>7.3.1.1.1</t>
  </si>
  <si>
    <t>Reporte o informe de promoción</t>
  </si>
  <si>
    <t>Promover los productos generados y medir la satisfacción de los usuarios</t>
  </si>
  <si>
    <t>7.3.1</t>
  </si>
  <si>
    <t>Realizar la promoción de los productos generados</t>
  </si>
  <si>
    <t>7.3.1.1</t>
  </si>
  <si>
    <t>Promover los productos generados, incluyendo el uso de redes sociales, blogs y sitios web</t>
  </si>
  <si>
    <t>A33,FIV</t>
  </si>
  <si>
    <t>7.3.1.1.2</t>
  </si>
  <si>
    <t>Recursos de promoción difundidos (folletos, infografías, productos de comunicación)</t>
  </si>
  <si>
    <t>A32,FVII</t>
  </si>
  <si>
    <t>Exchange Specification</t>
  </si>
  <si>
    <t>7.4.1.1.1</t>
  </si>
  <si>
    <t>Registro de atención de solicitudes de acceso a la información y procesamiento adicional de datos</t>
  </si>
  <si>
    <t>Dar seguimiento a las solicitudes</t>
  </si>
  <si>
    <t>7.4.1</t>
  </si>
  <si>
    <t>Realizar el seguimiento a las solicitudes particulares que realicen los usuarios</t>
  </si>
  <si>
    <t>7.4.1.1</t>
  </si>
  <si>
    <t>Atender solicitudes particulares que realicen los usuarios</t>
  </si>
  <si>
    <t>A32,FVIII</t>
  </si>
  <si>
    <t>8.1.1.1.1</t>
  </si>
  <si>
    <t>Insumos para la evaluación del proceso</t>
  </si>
  <si>
    <t>Fase 8</t>
  </si>
  <si>
    <t>Evaluación del proceso</t>
  </si>
  <si>
    <t>Concentrar los insumos que permitan determinar si el proceso es exitoso</t>
  </si>
  <si>
    <t>8.1.1</t>
  </si>
  <si>
    <t>Realizar la concentración de los insumos para la evaluación del proceso</t>
  </si>
  <si>
    <t>8.1.1.1</t>
  </si>
  <si>
    <t>Integrar los insumos para la evaluación del proceso</t>
  </si>
  <si>
    <t>A35,FI; DTMARA VIII.1</t>
  </si>
  <si>
    <t>Process metric, Assessment</t>
  </si>
  <si>
    <t>8.2.1.1.1</t>
  </si>
  <si>
    <t>Reporte de evaluación del proceso</t>
  </si>
  <si>
    <t>Analizar los insumos de evaluación y sintetizarlos en un reporte de evaluación</t>
  </si>
  <si>
    <t>8.2.1</t>
  </si>
  <si>
    <t>Realizar análisis y generar un reporte de evaluación del proceso</t>
  </si>
  <si>
    <t>8.2.1.1</t>
  </si>
  <si>
    <t>Analizar los insumos para generar reporte de evaluación del proceso</t>
  </si>
  <si>
    <t>A36,FI; DTMARA VIII.2</t>
  </si>
  <si>
    <t>8.3.1.1.1</t>
  </si>
  <si>
    <t>Plan de acción</t>
  </si>
  <si>
    <t>Plan de acción, es insumo para futuros ciclos del proceso</t>
  </si>
  <si>
    <t xml:space="preserve">Determinar y acordar un plan de acción </t>
  </si>
  <si>
    <t>8.3.1</t>
  </si>
  <si>
    <t>Realizar plan de acción de acuerdo con los lineamientos para la gestión de cambios</t>
  </si>
  <si>
    <t>8.3.1.1</t>
  </si>
  <si>
    <t>Elaborar un plan de acción</t>
  </si>
  <si>
    <t>A36,FII; DTMARA VIII.2</t>
  </si>
  <si>
    <t>Requerimientos de información</t>
  </si>
  <si>
    <t>Requerimientos de información, comprende todas las solicitudes de generación de información estadística y geográfica que provienen de las UE, los órganos colegiados del SNIEG y los que proponen las instituciones del gobierno mexicano o de organizaciones externas como por ej. la organización internacional del trabajo (OIT),  la UNECE, la UNSD, etc.
Estos requerimientos se reciben normalmente en diversos formatos (correos electrónicos, solicitudes verbales, etc.) sin contar necesariamente con una estructura definida</t>
  </si>
  <si>
    <t>A12,FI,Ia</t>
  </si>
  <si>
    <t>Information request</t>
  </si>
  <si>
    <t>No</t>
  </si>
  <si>
    <t>Recomendaciones internacionales</t>
  </si>
  <si>
    <t>Documentación de cambios en el entorno</t>
  </si>
  <si>
    <t>Environment change</t>
  </si>
  <si>
    <t>Disposiciones legales y administrativas de acceso a los datos</t>
  </si>
  <si>
    <t>1.1.2.2</t>
  </si>
  <si>
    <t>Describir las disposiciones legales y administrativas</t>
  </si>
  <si>
    <t>Inventario de Programas de Información</t>
  </si>
  <si>
    <t>A12,FI,Ib</t>
  </si>
  <si>
    <t>Normateca</t>
  </si>
  <si>
    <t>Sistema de compilación normativa del SNIEG</t>
  </si>
  <si>
    <t>Recursos materiales disponibles (SIA)</t>
  </si>
  <si>
    <t>Sitio de publicaciones del INEGI</t>
  </si>
  <si>
    <t>A14,FI,Ia; GDCE 1.1</t>
  </si>
  <si>
    <t>Convenios de colaboración</t>
  </si>
  <si>
    <t>A14,FI,Ia; GDCE 1..3</t>
  </si>
  <si>
    <t>Listado de infraestructura de información</t>
  </si>
  <si>
    <t>Guía de diseño conceptual para encuestas</t>
  </si>
  <si>
    <t>A14,FI,Ib;GDCE</t>
  </si>
  <si>
    <t>Catálogo de usuarios</t>
  </si>
  <si>
    <t>A14,FI,Id; GDCE 4.1</t>
  </si>
  <si>
    <t>Information consumer</t>
  </si>
  <si>
    <t>Otros mecanismos para la seguridad y confidencialidad estadística de la información</t>
  </si>
  <si>
    <t>Estándar BPMN</t>
  </si>
  <si>
    <t>A14,FII</t>
  </si>
  <si>
    <t>Arquitectura de datos revelada de los PP</t>
  </si>
  <si>
    <t>Catálogo de tareas</t>
  </si>
  <si>
    <t>Process design</t>
  </si>
  <si>
    <t>Catálogo de objetos de información</t>
  </si>
  <si>
    <t>Process input, Process output</t>
  </si>
  <si>
    <t>Catálogo de roles</t>
  </si>
  <si>
    <t>Marco Geoestadístico</t>
  </si>
  <si>
    <t>Procedimientos administrativos para la contratación del personal</t>
  </si>
  <si>
    <t>A22,FII,Ia; LCO …</t>
  </si>
  <si>
    <t>Marco de muestreo por actualizar</t>
  </si>
  <si>
    <t>2.4.2.2</t>
  </si>
  <si>
    <t>Actualizar el marco de muestreo</t>
  </si>
  <si>
    <t>Marco de muestreo</t>
  </si>
  <si>
    <r>
      <t xml:space="preserve">Marco </t>
    </r>
    <r>
      <rPr>
        <sz val="11"/>
        <color rgb="FFFF0000"/>
        <rFont val="Aptos Narrow"/>
        <family val="2"/>
        <scheme val="minor"/>
      </rPr>
      <t>de población</t>
    </r>
  </si>
  <si>
    <t>Fichas de indicadores de precisión para indicadores objetivo</t>
  </si>
  <si>
    <r>
      <t xml:space="preserve">Marco </t>
    </r>
    <r>
      <rPr>
        <sz val="11"/>
        <color rgb="FFFF0000"/>
        <rFont val="Aptos Narrow"/>
        <family val="2"/>
        <scheme val="minor"/>
      </rPr>
      <t>de población</t>
    </r>
    <r>
      <rPr>
        <sz val="11"/>
        <rFont val="Aptos Narrow"/>
        <family val="2"/>
        <scheme val="minor"/>
      </rPr>
      <t xml:space="preserve"> por actualizar</t>
    </r>
  </si>
  <si>
    <t>2.4.7.2</t>
  </si>
  <si>
    <t>Actualizar el marco de población</t>
  </si>
  <si>
    <t>Guía de diseño de la muestra para encuestas</t>
  </si>
  <si>
    <t>A14,FIV; GDME</t>
  </si>
  <si>
    <t>Métodos de edición e imputación de datos investigados</t>
  </si>
  <si>
    <t>Fichas de los indicadores de calidad</t>
  </si>
  <si>
    <t>A15,FV,Ij;A15,FV,Ik</t>
  </si>
  <si>
    <t>Sistema de Inventarios de Seguridad de la Información</t>
  </si>
  <si>
    <t>Sistema de Inventarios de Seguridad de la Información con datos del proceso de producción, incluye formularios para:
1. Inventario de activos de información
2. Inventario de áreas de acceso restringido
3. Inventario de requerimientos de redundancia tecnológica</t>
  </si>
  <si>
    <t>Acuerdos y protocolos de difusión o intercambio</t>
  </si>
  <si>
    <t>A14,FVI</t>
  </si>
  <si>
    <t>Convenios o acuerdos especiales para la prueba de campo o piloto</t>
  </si>
  <si>
    <t>Especificación de roles y accesos</t>
  </si>
  <si>
    <t>Agent in role, Data set</t>
  </si>
  <si>
    <t>Convenios y acuerdos para la captación</t>
  </si>
  <si>
    <t>Lineamientos administrativos para la ministración de recursos</t>
  </si>
  <si>
    <t>Respaldo de conjunto de datos captados, del sist. para la captación y del sist. administrador</t>
  </si>
  <si>
    <t>Respaldo de conjunto de datos captados y del sistema para la captación, incluye el registro en:
1. RBD&amp;RIE
2. Inventario de activos de información (SISI)</t>
  </si>
  <si>
    <t>4.3.1.3</t>
  </si>
  <si>
    <t>Resguardar y versionar el conjunto de datos captados y sistema para la captación</t>
  </si>
  <si>
    <t>A22,FII,If</t>
  </si>
  <si>
    <t>Datos geoespaciales</t>
  </si>
  <si>
    <t>Registros administrativos</t>
  </si>
  <si>
    <t>Datos de otros procesos de producción</t>
  </si>
  <si>
    <t>Datos de otras fuentes de información</t>
  </si>
  <si>
    <t>A28,FII,Id</t>
  </si>
  <si>
    <t>Datos recabados en la encuesta de opinión</t>
  </si>
  <si>
    <t>7.3.2</t>
  </si>
  <si>
    <t>Realizar la medición de la satisfacción de los usuarios</t>
  </si>
  <si>
    <t>7.3.2.1</t>
  </si>
  <si>
    <t>Medir la satisfacción de los usuarios</t>
  </si>
  <si>
    <t>A33,FV</t>
  </si>
  <si>
    <t>Informe de resultados en la encuesta de opinión</t>
  </si>
  <si>
    <t>Solicitudes de personas usuarias de la información</t>
  </si>
  <si>
    <t>Retroalimentación de personas usuarias</t>
  </si>
  <si>
    <t>Banco de variables</t>
  </si>
  <si>
    <t>Entrada para la elaboración del esquema conceptual y para la elaboración del cuestionario en diseño de la captación</t>
  </si>
  <si>
    <t>A14,FI,Ib; A15,FI,Ib; GDCE 2.4.1</t>
  </si>
  <si>
    <t>Information set, Conceptual domain</t>
  </si>
  <si>
    <t>Clasificación</t>
  </si>
  <si>
    <t>YA NO EXISTEN en COI v5:</t>
  </si>
  <si>
    <t>Características del equipamiento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</si>
</sst>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rgb="FFFF0000"/>
      <name val="Aptos Narrow"/>
      <family val="2"/>
      <scheme val="minor"/>
    </font>
    <font>
      <u/>
      <sz val="11"/>
      <color theme="10"/>
      <name val="Aptos Narrow"/>
      <family val="2"/>
      <scheme val="minor"/>
    </font>
    <font>
      <b/>
      <sz val="14"/>
      <name val="Aptos Narrow"/>
      <family val="2"/>
      <scheme val="minor"/>
    </font>
    <font>
      <sz val="11"/>
      <name val="Aptos Narrow"/>
      <family val="2"/>
      <scheme val="minor"/>
    </font>
    <font>
      <b/>
      <sz val="11"/>
      <name val="Aptos Narrow"/>
      <family val="2"/>
      <scheme val="minor"/>
    </font>
    <font>
      <sz val="8"/>
      <name val="Segoe UI"/>
      <family val="2"/>
    </font>
    <font>
      <sz val="7"/>
      <name val="Segoe UI"/>
      <family val="2"/>
    </font>
  </fonts>
  <fills count="5">
    <fill>
      <patternFill patternType="none"/>
    </fill>
    <fill>
      <patternFill patternType="gray125"/>
    </fill>
    <fill>
      <patternFill patternType="solid">
        <fgColor theme="0" tint="-0.14999847407452621"/>
        <bgColor indexed="64"/>
      </patternFill>
    </fill>
    <fill>
      <patternFill patternType="solid">
        <fgColor theme="9" tint="0.39997558519241921"/>
        <bgColor indexed="64"/>
      </patternFill>
    </fill>
    <fill>
      <patternFill patternType="solid">
        <fgColor rgb="FFFFFF00"/>
        <bgColor indexed="64"/>
      </patternFill>
    </fill>
  </fills>
  <borders count="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3"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4" fillId="0" borderId="0" xfId="0" applyFont="1" applyAlignment="1">
      <alignment horizontal="center" vertical="top"/>
    </xf>
    <xf numFmtId="0" fontId="5" fillId="0" borderId="0" xfId="0" applyFont="1" applyAlignment="1">
      <alignment horizontal="left" vertical="top" wrapText="1"/>
    </xf>
    <xf numFmtId="0" fontId="5" fillId="0" borderId="0" xfId="0" applyFont="1" applyAlignment="1">
      <alignment horizontal="center" vertical="top" wrapText="1"/>
    </xf>
    <xf numFmtId="0" fontId="4" fillId="2" borderId="0" xfId="0" applyFont="1" applyFill="1" applyAlignment="1">
      <alignment horizontal="left" vertical="top" wrapText="1"/>
    </xf>
    <xf numFmtId="0" fontId="6" fillId="0" borderId="0" xfId="0" applyFont="1" applyAlignment="1">
      <alignment horizontal="left" vertical="top"/>
    </xf>
    <xf numFmtId="0" fontId="1" fillId="0" borderId="0" xfId="0" applyFont="1" applyAlignment="1">
      <alignment horizontal="left" vertical="top"/>
    </xf>
    <xf numFmtId="0" fontId="1" fillId="2" borderId="0" xfId="0" applyFont="1" applyFill="1" applyAlignment="1">
      <alignment horizontal="left" vertical="top" wrapText="1"/>
    </xf>
    <xf numFmtId="2" fontId="4" fillId="0" borderId="0" xfId="0" applyNumberFormat="1" applyFont="1" applyAlignment="1">
      <alignment horizontal="center" vertical="top"/>
    </xf>
    <xf numFmtId="2" fontId="4" fillId="0" borderId="0" xfId="0" applyNumberFormat="1" applyFont="1" applyAlignment="1">
      <alignment horizontal="left" vertical="top"/>
    </xf>
    <xf numFmtId="0" fontId="4" fillId="0" borderId="0" xfId="0" quotePrefix="1" applyFont="1" applyAlignment="1">
      <alignment horizontal="left" vertical="top"/>
    </xf>
    <xf numFmtId="0" fontId="7" fillId="0" borderId="0" xfId="0" applyFont="1" applyAlignment="1">
      <alignment horizontal="left" vertical="top"/>
    </xf>
    <xf numFmtId="0" fontId="5" fillId="0" borderId="0" xfId="0" applyFont="1" applyAlignment="1">
      <alignment horizontal="left" vertical="top"/>
    </xf>
    <xf numFmtId="2" fontId="4" fillId="0" borderId="0" xfId="0" quotePrefix="1" applyNumberFormat="1" applyFont="1" applyAlignment="1">
      <alignment horizontal="left" vertical="top"/>
    </xf>
    <xf numFmtId="2" fontId="1" fillId="0" borderId="0" xfId="0" applyNumberFormat="1" applyFont="1" applyAlignment="1">
      <alignment horizontal="left" vertical="top"/>
    </xf>
    <xf numFmtId="2" fontId="2" fillId="3" borderId="1" xfId="1" applyNumberFormat="1" applyFill="1" applyBorder="1" applyAlignment="1">
      <alignment horizontal="left" vertical="top"/>
    </xf>
    <xf numFmtId="0" fontId="4" fillId="0" borderId="1" xfId="0" applyFont="1" applyBorder="1" applyAlignment="1">
      <alignment horizontal="left" vertical="top" wrapText="1"/>
    </xf>
    <xf numFmtId="0" fontId="0" fillId="4" borderId="0" xfId="0" applyFill="1"/>
    <xf numFmtId="0" fontId="5" fillId="0" borderId="0" xfId="0" applyFont="1" applyAlignment="1">
      <alignment horizontal="left" vertical="top" wrapText="1"/>
    </xf>
    <xf numFmtId="0" fontId="5" fillId="0" borderId="0" xfId="0" applyFont="1" applyAlignment="1">
      <alignment horizontal="center" vertical="top" wrapText="1"/>
    </xf>
    <xf numFmtId="0" fontId="5" fillId="0" borderId="0" xfId="0" applyFont="1" applyAlignment="1">
      <alignment horizontal="center" vertical="top"/>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COI/Caracterizaci&#243;n_COI_18mar2026.xlsm" TargetMode="External"/><Relationship Id="rId2" Type="http://schemas.openxmlformats.org/officeDocument/2006/relationships/externalLinkPath" Target="https://365inegi.sharepoint.com/sites/dgiai/100_DGG_DGIAII/150_DAA_DGAI/Documentos%20compartidos/COI/Caracterizaci&#243;n_COI_18mar2026.xlsm" TargetMode="External"/><Relationship Id="rId1" Type="http://schemas.openxmlformats.org/officeDocument/2006/relationships/externalLinkPath" Target="/sites/dgiai/100_DGG_DGIAII/150_DAA_DGAI/Documentos%20compartidos/COI/Caracterizaci&#243;n_COI_18mar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riteriosSelecciónOI"/>
      <sheetName val="Cat_Objetos"/>
      <sheetName val="Listado_OI-Atributos"/>
      <sheetName val="Cat_AtributosBase"/>
      <sheetName val="AtrConjuntoDatos"/>
      <sheetName val="AtrDocumento"/>
      <sheetName val="Cat_Tipo del OI"/>
      <sheetName val="Cat_Formato del OI"/>
      <sheetName val="Cat_Estatus del OI"/>
      <sheetName val="Cat_Versión MPEG"/>
      <sheetName val="Cat_Clave PTracking"/>
      <sheetName val="Cat_Acrónimo del PP"/>
      <sheetName val="Cat_Nombre del PP"/>
      <sheetName val="Cat_PP_IPI"/>
      <sheetName val="1.1.1.1.1"/>
      <sheetName val="1.1.1.2.1"/>
      <sheetName val="1.1.1.3.1"/>
      <sheetName val="1.1.1.4.1"/>
      <sheetName val="1.1.1.5.1"/>
      <sheetName val="1.1.2.3.1"/>
      <sheetName val="1.1.3.1.1"/>
      <sheetName val="1.2.1.1.1"/>
      <sheetName val="1.2.1.2.1"/>
      <sheetName val="1.2.1.3.1"/>
      <sheetName val="1.2.1.4.1"/>
      <sheetName val="1.2.2.1.1"/>
      <sheetName val="1.3.1.1.1"/>
      <sheetName val="1.3.1.2.1"/>
      <sheetName val="1.3.1.2.2"/>
      <sheetName val="1.4.1.1.1"/>
      <sheetName val="1.5.1.1.1"/>
      <sheetName val="1.5.1.2.1"/>
      <sheetName val="1.6.1.1.1"/>
      <sheetName val="1.6.1.2.1"/>
      <sheetName val="1.7.1.1.1"/>
      <sheetName val="1.7.1.2.1"/>
      <sheetName val="2.1.1.1.1"/>
      <sheetName val="2.1.1.2.1"/>
      <sheetName val="2.1.1.3.1"/>
      <sheetName val="2.1.1.7.1"/>
      <sheetName val="2.1.1.8.1"/>
      <sheetName val="2.1.1.9.1"/>
      <sheetName val="2.1.1.10.1"/>
      <sheetName val="2.1.1.11.1"/>
      <sheetName val="2.1.1.12.1"/>
      <sheetName val="2.1.2.3.1"/>
      <sheetName val="2.1.2.4.1"/>
      <sheetName val="2.1.2.4.2"/>
      <sheetName val="2.1.2.4.3"/>
      <sheetName val="2.1.2.5.1"/>
      <sheetName val="2.1.3.1.1"/>
      <sheetName val="2.1.3.2.1"/>
      <sheetName val="2.1.3.2.2"/>
      <sheetName val="2.1.4.1.1"/>
      <sheetName val="2.1.4.2.1"/>
      <sheetName val="2.2.1.1.1"/>
      <sheetName val="2.2.1.2.1"/>
      <sheetName val="2.2.1.3.1"/>
      <sheetName val="2.2.1.4.1"/>
      <sheetName val="2.2.1.5.1"/>
      <sheetName val="2.2.1.6.1"/>
      <sheetName val="2.2.1.7.1"/>
      <sheetName val="2.2.1.8.1"/>
      <sheetName val="2.2.1.9.1"/>
      <sheetName val="2.2.1.10.1"/>
      <sheetName val="2.2.1.11.1"/>
      <sheetName val="2.2.2.1.1"/>
      <sheetName val="2.2.2.2.1"/>
      <sheetName val="2.3.1.1.1"/>
      <sheetName val="2.3.1.2.1"/>
      <sheetName val="2.3.1.2.2"/>
      <sheetName val="2.3.1.2.3"/>
      <sheetName val="2.3.1.3.1"/>
      <sheetName val="2.3.1.5.1"/>
      <sheetName val="2.3.2.1.1"/>
      <sheetName val="2.3.2.2.1"/>
      <sheetName val="2.3.2.3.1"/>
      <sheetName val="2.3.2.3.2"/>
      <sheetName val="2.3.3.1.1"/>
      <sheetName val="2.3.3.2.1"/>
      <sheetName val="2.3.3.3.1"/>
      <sheetName val="2.3.3.3.2"/>
      <sheetName val="2.3.3.3.3"/>
      <sheetName val="2.3.3.4.1"/>
      <sheetName val="2.3.3.5.1"/>
      <sheetName val="2.3.3.6.1"/>
      <sheetName val="2.3.3.7.1"/>
      <sheetName val="2.3.3.7.2"/>
      <sheetName val="2.3.3.8.1"/>
      <sheetName val="2.3.3.10.1"/>
      <sheetName val="2.3.3.11.1"/>
      <sheetName val="2.3.3.11.2"/>
      <sheetName val="2.3.3.12.1"/>
      <sheetName val="2.3.3.13.1"/>
      <sheetName val="2.3.3.14.1"/>
      <sheetName val="2.3.3.15.1"/>
      <sheetName val="2.3.3.16.1"/>
      <sheetName val="2.3.3.17.1"/>
      <sheetName val="2.4.1.1.1"/>
      <sheetName val="2.4.1.3.1"/>
      <sheetName val="2.4.1.4.1"/>
      <sheetName val="2.4.1.6.1"/>
      <sheetName val="2.4.1.7.1"/>
      <sheetName val="2.4.2.1.1"/>
      <sheetName val="2.4.3.1.1"/>
      <sheetName val="2.4.3.2.1"/>
      <sheetName val="2.4.3.2.2"/>
      <sheetName val="2.4.3.3.1"/>
      <sheetName val="2.4.4.1.1"/>
      <sheetName val="2.4.5.1.1"/>
      <sheetName val="2.4.6.1.1"/>
      <sheetName val="2.4.6.3.1"/>
      <sheetName val="2.4.6.4.1"/>
      <sheetName val="2.4.6.6.1"/>
      <sheetName val="2.5.1.1.1"/>
      <sheetName val="2.5.1.2.1"/>
      <sheetName val="2.5.1.2.2"/>
      <sheetName val="2.5.1.3.1"/>
      <sheetName val="2.5.1.4.1"/>
      <sheetName val="2.5.1.4.2"/>
      <sheetName val="2.5.1.5.1"/>
      <sheetName val="2.5.1.5.2"/>
      <sheetName val="2.5.1.6.1"/>
      <sheetName val="2.5.1.6.2"/>
      <sheetName val="2.5.1.7.1"/>
      <sheetName val="2.5.1.8.1"/>
      <sheetName val="2.5.1.9.1"/>
      <sheetName val="2.5.1.9.2"/>
      <sheetName val="2.5.1.9.3"/>
      <sheetName val="2.5.1.10.1"/>
      <sheetName val="2.5.1.10.2"/>
      <sheetName val="2.5.1.11.1"/>
      <sheetName val="2.5.1.12.1"/>
      <sheetName val="2.5.1.12.2"/>
      <sheetName val="2.5.1.12.3"/>
      <sheetName val="2.5.1.13.1"/>
      <sheetName val="2.5.1.13.2"/>
      <sheetName val="2.5.2.1.1"/>
      <sheetName val="2.5.2.2.1"/>
      <sheetName val="2.5.2.2.2"/>
      <sheetName val="2.5.2.2.3"/>
      <sheetName val="2.5.3.1.1"/>
      <sheetName val="2.5.4.1.1"/>
      <sheetName val="2.6.1.1.1"/>
      <sheetName val="2.6.1.2.1"/>
      <sheetName val="3.1.1.1.1"/>
      <sheetName val="3.1.1.1.2"/>
      <sheetName val="3.1.1.1.3"/>
      <sheetName val="3.1.1.4.1"/>
      <sheetName val="3.1.1.4.2"/>
      <sheetName val="3.1.1.4.3"/>
      <sheetName val="3.1.2.1.1"/>
      <sheetName val="3.1.2.2.1"/>
      <sheetName val="3.1.2.2.2"/>
      <sheetName val="3.1.2.3.1"/>
      <sheetName val="3.1.2.3.2"/>
      <sheetName val="3.1.2.4.1"/>
      <sheetName val="3.1.2.5.1"/>
      <sheetName val="3.1.2.6.1"/>
      <sheetName val="3.1.2.7.1"/>
      <sheetName val="3.1.2.7.2"/>
      <sheetName val="3.1.2.7.3"/>
      <sheetName val="3.1.3.1.1"/>
      <sheetName val="3.1.3.2.1"/>
      <sheetName val="3.1.4.1.1"/>
      <sheetName val="3.1.4.2.1"/>
      <sheetName val="3.1.5.1.1"/>
      <sheetName val="3.1.5.2.1"/>
      <sheetName val="3.2.1.1.1"/>
      <sheetName val="3.2.1.1.2"/>
      <sheetName val="3.2.1.2.1"/>
      <sheetName val="3.2.1.2.2"/>
      <sheetName val="3.2.1.2.3"/>
      <sheetName val="3.2.1.2.4"/>
      <sheetName val="3.2.1.2.5"/>
      <sheetName val="3.2.1.3.1"/>
      <sheetName val="3.2.1.4.1"/>
      <sheetName val="3.2.1.5.1"/>
      <sheetName val="3.3.1.1.1"/>
      <sheetName val="3.3.1.1.2"/>
      <sheetName val="3.3.1.1.3"/>
      <sheetName val="3.3.1.2.1"/>
      <sheetName val="3.3.1.3.1"/>
      <sheetName val="3.3.2.1.1"/>
      <sheetName val="3.3.2.1.2"/>
      <sheetName val="3.3.2.2.1"/>
      <sheetName val="3.3.2.2.2"/>
      <sheetName val="3.3.2.3.1"/>
      <sheetName val="3.3.2.3.2"/>
      <sheetName val="3.3.3.1.1"/>
      <sheetName val="3.3.4.1.1"/>
      <sheetName val="3.4.1.1.1"/>
      <sheetName val="3.4.1.2.1"/>
      <sheetName val="3.4.1.3.1"/>
      <sheetName val="3.4.1.4.1"/>
      <sheetName val="3.4.1.5.1"/>
      <sheetName val="3.5.1.1.1"/>
      <sheetName val="3.5.1.2.1"/>
      <sheetName val="3.5.1.3.1"/>
      <sheetName val="3.5.1.4.1"/>
      <sheetName val="3.5.1.5.1"/>
      <sheetName val="4.1.1.1.1"/>
      <sheetName val="4.1.1.2.1"/>
      <sheetName val="4.1.1.3.1"/>
      <sheetName val="4.1.1.3.2"/>
      <sheetName val="4.1.1.3.3"/>
      <sheetName val="4.1.1.4.1"/>
      <sheetName val="4.1.1.4.2"/>
      <sheetName val="4.1.1.4.3"/>
      <sheetName val="4.1.1.5.1"/>
      <sheetName val="4.1.1.7.1"/>
      <sheetName val="4.1.1.8.1"/>
      <sheetName val="4.1.2.1.1"/>
      <sheetName val="4.1.2.1.2"/>
      <sheetName val="4.1.2.2.1"/>
      <sheetName val="4.1.2.3.1"/>
      <sheetName val="4.1.2.3.2 "/>
      <sheetName val="4.1.2.4.1"/>
      <sheetName val="4.1.2.5.1"/>
      <sheetName val="4.1.2.6.1"/>
      <sheetName val="4.1.2.6.2"/>
      <sheetName val="4.1.2.7.1"/>
      <sheetName val="4.1.2.8.1"/>
      <sheetName val="4.1.2.9.1"/>
      <sheetName val="4.1.3.1.1"/>
      <sheetName val="4.1.3.1.2"/>
      <sheetName val="4.1.3.2.1"/>
      <sheetName val="4.1.3.2.2"/>
      <sheetName val="4.1.3.2.3"/>
      <sheetName val="4.1.3.3.1"/>
      <sheetName val="4.1.3.3.2"/>
      <sheetName val="4.1.3.4.1"/>
      <sheetName val="4.1.3.4.2"/>
      <sheetName val="4.2.1.1.1"/>
      <sheetName val="4.2.1.1.2"/>
      <sheetName val="4.2.1.1.3"/>
      <sheetName val="4.2.1.2.1"/>
      <sheetName val="4.2.1.2.2"/>
      <sheetName val="4.2.1.3.1"/>
      <sheetName val="4.2.1.4.1"/>
      <sheetName val="4.2.1.5.1"/>
      <sheetName val="4.2.1.5.2"/>
      <sheetName val="4.2.1.6.1"/>
      <sheetName val="4.2.1.7.1"/>
      <sheetName val="4.2.1.8.1"/>
      <sheetName val="4.2.1.9.1"/>
      <sheetName val="4.2.1.9.2"/>
      <sheetName val="4.2.1.9.3"/>
      <sheetName val="4.2.1.10.1"/>
      <sheetName val="4.2.1.11.1"/>
      <sheetName val="4.2.1.11.2"/>
      <sheetName val="4.3.1.1.1"/>
      <sheetName val="4.3.1.2.1"/>
      <sheetName val="5.1.1.1.1"/>
      <sheetName val="5.1.1.2.1"/>
      <sheetName val="5.2.1.1.1"/>
      <sheetName val="5.2.1.2.1"/>
      <sheetName val="5.2.1.2.2"/>
      <sheetName val="5.3.1.1.1"/>
      <sheetName val="5.3.1.2.1"/>
      <sheetName val="5.3.1.2.2"/>
      <sheetName val="5.4.1.1.1"/>
      <sheetName val="5.4.1.2.1"/>
      <sheetName val="5.4.1.3.1"/>
      <sheetName val="5.4.1.4.1"/>
      <sheetName val="5.5.1.1.1"/>
      <sheetName val="5.5.1.2.1"/>
      <sheetName val="5.5.1.3.1"/>
      <sheetName val="5.6.1.1.1"/>
      <sheetName val="5.6.1.2.1"/>
      <sheetName val="5.7.1.1.1"/>
      <sheetName val="5.7.1.1.2"/>
      <sheetName val="5.7.1.2.1"/>
      <sheetName val="5.7.1.2.2"/>
      <sheetName val="5.7.1.3.1"/>
      <sheetName val="5.7.1.3.2"/>
      <sheetName val="5.8.1.1.1"/>
      <sheetName val="5.8.1.1.2"/>
      <sheetName val="6.1.1.1.1"/>
      <sheetName val="6.1.1.1.2"/>
      <sheetName val="6.1.1.2.1"/>
      <sheetName val="6.1.1.2.2"/>
      <sheetName val="6.1.1.3.1"/>
      <sheetName val="6.1.1.3.2"/>
      <sheetName val="6.2.1.1.1"/>
      <sheetName val="6.2.1.2.1"/>
      <sheetName val="6.2.1.4.1"/>
      <sheetName val="6.2.1.5.1"/>
      <sheetName val="6.2.1.6.1"/>
      <sheetName val="6.3.1.1.1"/>
      <sheetName val="6.3.1.1.2"/>
      <sheetName val="6.3.1.2.1"/>
      <sheetName val="6.4.1.1.1"/>
      <sheetName val="6.4.1.1.2"/>
      <sheetName val="6.4.1.3.1"/>
      <sheetName val="6.4.1.3.2"/>
      <sheetName val="6.4.1.3.3"/>
      <sheetName val="6.4.1.4.1"/>
      <sheetName val="6.4.1.4.2"/>
      <sheetName val="7.1.1.2.1"/>
      <sheetName val="7.1.1.2.2"/>
      <sheetName val="7.2.1.2.1"/>
      <sheetName val="7.2.1.3.1"/>
      <sheetName val="7.2.1.4.1"/>
      <sheetName val="7.3.1.1.1"/>
      <sheetName val="7.3.1.1.2"/>
      <sheetName val="7.4.1.1.1"/>
      <sheetName val="8.1.1.1.1"/>
      <sheetName val="8.2.1.1.1"/>
      <sheetName val="8.3.1.1.1"/>
      <sheetName val="Hoja-Prop_Temporal"/>
    </sheetNames>
    <sheetDataSet>
      <sheetData sheetId="0"/>
      <sheetData sheetId="1">
        <row r="4">
          <cell r="C4" t="str">
            <v>Planteamiento de necesidades de información</v>
          </cell>
        </row>
        <row r="5">
          <cell r="C5" t="str">
            <v>Listado de normatividad aplicable</v>
          </cell>
        </row>
        <row r="6">
          <cell r="C6" t="str">
            <v>Población, cobertura y otras especificaciones</v>
          </cell>
        </row>
        <row r="7">
          <cell r="C7" t="str">
            <v>Planteamiento del objetivo y uso previsto de la información</v>
          </cell>
        </row>
        <row r="8">
          <cell r="C8" t="str">
            <v>Documentación de temas, variables, conceptos, y desagregaciones de interés</v>
          </cell>
        </row>
        <row r="9">
          <cell r="C9" t="str">
            <v>Evaluación de fuentes que satisfagan la necesidad de información</v>
          </cell>
        </row>
        <row r="10">
          <cell r="C10" t="str">
            <v>Documento de detección de necesidades estructuradas de información</v>
          </cell>
        </row>
        <row r="11">
          <cell r="C11" t="str">
            <v>Calendario con la programación del proceso</v>
          </cell>
        </row>
        <row r="12">
          <cell r="C12" t="str">
            <v>Presupuesto y costos</v>
          </cell>
        </row>
        <row r="13">
          <cell r="C13" t="str">
            <v>Especificación de necesidades de recursos humanos</v>
          </cell>
        </row>
        <row r="14">
          <cell r="C14" t="str">
            <v>Especificación de necesidades de recursos materiales</v>
          </cell>
        </row>
        <row r="15">
          <cell r="C15" t="str">
            <v>Plan de viabilidad técnica y económica</v>
          </cell>
        </row>
        <row r="16">
          <cell r="C16" t="str">
            <v>Presentación de propuesta de nuevas necesidades de información para los CTE, CE o CCN</v>
          </cell>
        </row>
        <row r="17">
          <cell r="C17" t="str">
            <v>Copia de actas o minutas de las sesiones de los CTE, CE o CCN sobre nuevas necesidades</v>
          </cell>
        </row>
        <row r="18">
          <cell r="C18" t="str">
            <v>Listados de los CTE, CE o CCN</v>
          </cell>
        </row>
        <row r="19">
          <cell r="C19" t="str">
            <v>Matriz de relación de conceptos entre necesidades y requirentes</v>
          </cell>
        </row>
        <row r="20">
          <cell r="C20" t="str">
            <v>Lista de conceptos y desagregaciones de interés</v>
          </cell>
        </row>
        <row r="21">
          <cell r="C21" t="str">
            <v>Matriz de relación entre necesidades de información con objetivos o estrategias del PND y otros</v>
          </cell>
        </row>
        <row r="22">
          <cell r="C22" t="str">
            <v>Listado de datos insumo</v>
          </cell>
        </row>
        <row r="23">
          <cell r="C23" t="str">
            <v>Listado de datos insumo y soporte jurídico para su acceso</v>
          </cell>
        </row>
        <row r="24">
          <cell r="C24" t="str">
            <v>Listado de los procesos de producción con indicadores equivalentes</v>
          </cell>
        </row>
        <row r="25">
          <cell r="C25" t="str">
            <v>Justificación del proceso de producción</v>
          </cell>
        </row>
        <row r="26">
          <cell r="C26" t="str">
            <v>Informe de la normatividad relacionada</v>
          </cell>
        </row>
        <row r="27">
          <cell r="C27" t="str">
            <v>Coincidencias con los planes y programas gubernamentales</v>
          </cell>
        </row>
        <row r="28">
          <cell r="C28" t="str">
            <v>Contribuciones metodológicas aplicables</v>
          </cell>
        </row>
        <row r="29">
          <cell r="C29" t="str">
            <v>Propuesta de cambios preliminar</v>
          </cell>
        </row>
        <row r="30">
          <cell r="C30" t="str">
            <v>Resultados de la prueba cognitiva y estadística</v>
          </cell>
        </row>
        <row r="31">
          <cell r="C31" t="str">
            <v>Propuesta de cambios para consulta pública</v>
          </cell>
        </row>
        <row r="32">
          <cell r="C32" t="str">
            <v>Datos de la consulta pública</v>
          </cell>
        </row>
        <row r="33">
          <cell r="C33" t="str">
            <v>Reporte de resultados de la consulta pública</v>
          </cell>
        </row>
        <row r="34">
          <cell r="C34" t="str">
            <v>Reporte de resultados de la investigación documental</v>
          </cell>
        </row>
        <row r="35">
          <cell r="C35" t="str">
            <v>Selección de la infraestructura de información utilizable</v>
          </cell>
        </row>
        <row r="36">
          <cell r="C36" t="str">
            <v>Esquema de temas, variables y categorías</v>
          </cell>
        </row>
        <row r="37">
          <cell r="C37" t="str">
            <v>Glosario</v>
          </cell>
        </row>
        <row r="38">
          <cell r="C38" t="str">
            <v>Esquema de indicadores objetivo</v>
          </cell>
        </row>
        <row r="39">
          <cell r="C39" t="str">
            <v>Marco conceptual</v>
          </cell>
        </row>
        <row r="40">
          <cell r="C40" t="str">
            <v>Metadatos referenciales del proceso de producción</v>
          </cell>
        </row>
        <row r="41">
          <cell r="C41" t="str">
            <v>Modelo de base de datos para la captación</v>
          </cell>
        </row>
        <row r="42">
          <cell r="C42" t="str">
            <v>Diccionario de datos</v>
          </cell>
        </row>
        <row r="43">
          <cell r="C43" t="str">
            <v>Lista de presentaciones genéricas y especializadas</v>
          </cell>
        </row>
        <row r="44">
          <cell r="C44" t="str">
            <v>Diseño de productos de información y sus presentaciones</v>
          </cell>
        </row>
        <row r="45">
          <cell r="C45" t="str">
            <v>Diseño de plataformas informáticas, componentes, app. y servicios de soft. de captación</v>
          </cell>
        </row>
        <row r="46">
          <cell r="C46" t="str">
            <v>Diseño de plataformas inform., componentes, app. y serv. de soft. para difusión</v>
          </cell>
        </row>
        <row r="47">
          <cell r="C47" t="str">
            <v>Diseño de plataformas informáticas, comp., app. y serv. de soft. para procesamiento</v>
          </cell>
        </row>
        <row r="48">
          <cell r="C48" t="str">
            <v>Diseño de plataformas inform., comp., app. y serv. soft. para análisis de prod.</v>
          </cell>
        </row>
        <row r="49">
          <cell r="C49" t="str">
            <v xml:space="preserve">Diseño de plataformas inform., comp., app. y serv. soft. de la integración de datos </v>
          </cell>
        </row>
        <row r="50">
          <cell r="C50" t="str">
            <v>Diseño de plat. inform., comp., app. y serv. soft. para cálc. y calibración de pond.</v>
          </cell>
        </row>
        <row r="51">
          <cell r="C51" t="str">
            <v>Diseño de plataformas inform., comp., app. y serv. soft. para codificar datos</v>
          </cell>
        </row>
        <row r="52">
          <cell r="C52" t="str">
            <v>Diseño de plataformas inform., comp., app. y serv. soft. para la validación</v>
          </cell>
        </row>
        <row r="53">
          <cell r="C53" t="str">
            <v>Diseño de plataformas inform., comp., app. y serv. soft. de edición e imputación</v>
          </cell>
        </row>
        <row r="54">
          <cell r="C54" t="str">
            <v>Diseño de plat. inform., comp., app. y serv. soft. para nuevas variables o unidades</v>
          </cell>
        </row>
        <row r="55">
          <cell r="C55" t="str">
            <v xml:space="preserve">Diseño de plat. inform., comp., app. y serv. soft. para agregaciones y medidas est. </v>
          </cell>
        </row>
        <row r="56">
          <cell r="C56" t="str">
            <v>Diseño de flujo de trabajo (MPP)</v>
          </cell>
        </row>
        <row r="57">
          <cell r="C57" t="str">
            <v>Diseño de plataformas informáticas, componentes, app. y serv. de software del flujo de trabajo</v>
          </cell>
        </row>
        <row r="58">
          <cell r="C58" t="str">
            <v>Esquema del flujo del cuestionario</v>
          </cell>
        </row>
        <row r="59">
          <cell r="C59" t="str">
            <v>Cuestionario</v>
          </cell>
        </row>
        <row r="60">
          <cell r="C60" t="str">
            <v>Guías de observación</v>
          </cell>
        </row>
        <row r="61">
          <cell r="C61" t="str">
            <v>Bitácora de cambios al cuestionario</v>
          </cell>
        </row>
        <row r="62">
          <cell r="C62" t="str">
            <v>Resultado de las pruebas</v>
          </cell>
        </row>
        <row r="63">
          <cell r="C63" t="str">
            <v>Instrumentos de evaluación cognitiva</v>
          </cell>
        </row>
        <row r="64">
          <cell r="C64" t="str">
            <v>Definición de canales y protocolos de captación</v>
          </cell>
        </row>
        <row r="65">
          <cell r="C65" t="str">
            <v>Criterios de validación de campo</v>
          </cell>
        </row>
        <row r="66">
          <cell r="C66" t="str">
            <v>Material de capacitación para la captación</v>
          </cell>
        </row>
        <row r="67">
          <cell r="C67" t="str">
            <v>Manuales operativos</v>
          </cell>
        </row>
        <row r="68">
          <cell r="C68" t="str">
            <v>Características del equipamiento</v>
          </cell>
        </row>
        <row r="69">
          <cell r="C69" t="str">
            <v>Material de promoción del operativo de campo</v>
          </cell>
        </row>
        <row r="70">
          <cell r="C70" t="str">
            <v>Estrategia operativa del proceso</v>
          </cell>
        </row>
        <row r="71">
          <cell r="C71" t="str">
            <v>Criterios e indicadores para el seguimiento y control del operativo</v>
          </cell>
        </row>
        <row r="72">
          <cell r="C72" t="str">
            <v>Especificación de recursos materiales requeridos</v>
          </cell>
        </row>
        <row r="73">
          <cell r="C73" t="str">
            <v>Plantilla del personal y roles requeridos para la captación</v>
          </cell>
        </row>
        <row r="74">
          <cell r="C74" t="str">
            <v>Instrumento jurídico para obtener datos</v>
          </cell>
        </row>
        <row r="75">
          <cell r="C75" t="str">
            <v>Manual de captura de datos</v>
          </cell>
        </row>
        <row r="76">
          <cell r="C76" t="str">
            <v>Recursos materiales necesarios por figura operativa</v>
          </cell>
        </row>
        <row r="77">
          <cell r="C77" t="str">
            <v>Características del equipamiento necesario por figura operativa</v>
          </cell>
        </row>
        <row r="78">
          <cell r="C78" t="str">
            <v>Procedimiento para visitar las unidades de observación y su verificación</v>
          </cell>
        </row>
        <row r="79">
          <cell r="C79" t="str">
            <v>Relación de recursos materiales en inventario</v>
          </cell>
        </row>
        <row r="80">
          <cell r="C80" t="str">
            <v>Estrategia para la comunicación y concertación</v>
          </cell>
        </row>
        <row r="81">
          <cell r="C81" t="str">
            <v>Diseño de productos para promoción y difusión en medios de comunicación</v>
          </cell>
        </row>
        <row r="82">
          <cell r="C82" t="str">
            <v>Estrategia de control y seguimiento de la captación</v>
          </cell>
        </row>
        <row r="83">
          <cell r="C83" t="str">
            <v>Procedimiento para la actualización de la cartografía</v>
          </cell>
        </row>
        <row r="84">
          <cell r="C84" t="str">
            <v>Estrategia de reclutamiento del personal</v>
          </cell>
        </row>
        <row r="85">
          <cell r="C85" t="str">
            <v>Especificación de equipamiento y recursos materiales requeridos</v>
          </cell>
        </row>
        <row r="86">
          <cell r="C86" t="str">
            <v>Estrategia de capacitación del personal del levantamiento</v>
          </cell>
        </row>
        <row r="87">
          <cell r="C87" t="str">
            <v>Procedimiento para la distribución de equipamiento y recursos materiales</v>
          </cell>
        </row>
        <row r="88">
          <cell r="C88" t="str">
            <v>Informe de la disponibilidad del marco de muestreo</v>
          </cell>
        </row>
        <row r="89">
          <cell r="C89" t="str">
            <v>Características del marco de muestreo</v>
          </cell>
        </row>
        <row r="90">
          <cell r="C90" t="str">
            <v>Solicitud del marco de muestreo</v>
          </cell>
        </row>
        <row r="91">
          <cell r="C91" t="str">
            <v>Muestra maestra</v>
          </cell>
        </row>
        <row r="92">
          <cell r="C92" t="str">
            <v>Documentación del marco muestral</v>
          </cell>
        </row>
        <row r="93">
          <cell r="C93" t="str">
            <v>Esquema de muestreo</v>
          </cell>
        </row>
        <row r="94">
          <cell r="C94" t="str">
            <v>Documentación del tamaño de la muestra</v>
          </cell>
        </row>
        <row r="95">
          <cell r="C95" t="str">
            <v>Diseño de algoritmos para selección de la muestra</v>
          </cell>
        </row>
        <row r="96">
          <cell r="C96" t="str">
            <v>Documentación del procedimiento de estratificación</v>
          </cell>
        </row>
        <row r="97">
          <cell r="C97" t="str">
            <v>Muestra seleccionada</v>
          </cell>
        </row>
        <row r="98">
          <cell r="C98" t="str">
            <v>Diseño de algoritmos para los estimadores, precisiones est. e ind. de precisión</v>
          </cell>
        </row>
        <row r="99">
          <cell r="C99" t="str">
            <v>Documento del diseño muestral</v>
          </cell>
        </row>
        <row r="100">
          <cell r="C100" t="str">
            <v>Informe de la disponibilidad del marco de población objetivo</v>
          </cell>
        </row>
        <row r="101">
          <cell r="C101" t="str">
            <v>Características del marco de población objetivo</v>
          </cell>
        </row>
        <row r="102">
          <cell r="C102" t="str">
            <v>Solicitud del marco de población objetivo</v>
          </cell>
        </row>
        <row r="103">
          <cell r="C103" t="str">
            <v>Documentación del marco de población objetivo</v>
          </cell>
        </row>
        <row r="104">
          <cell r="C104" t="str">
            <v>Diseño de algoritmos para integrar datos</v>
          </cell>
        </row>
        <row r="105">
          <cell r="C105" t="str">
            <v>Diseño de algoritmos para la codificación de datos </v>
          </cell>
        </row>
        <row r="106">
          <cell r="C106" t="str">
            <v>Modelo de base de datos de codificación</v>
          </cell>
        </row>
        <row r="107">
          <cell r="C107" t="str">
            <v>Diseño de algoritmos para el cálculo y calibración de ponderadores</v>
          </cell>
        </row>
        <row r="108">
          <cell r="C108" t="str">
            <v>Diseño de algoritmos para la validación</v>
          </cell>
        </row>
        <row r="109">
          <cell r="C109" t="str">
            <v>Modelo de base de datos de validación</v>
          </cell>
        </row>
        <row r="110">
          <cell r="C110" t="str">
            <v>Diseño de algoritmos para la edición e imputación de datos</v>
          </cell>
        </row>
        <row r="111">
          <cell r="C111" t="str">
            <v>Modelo de base de datos de edición e imputación</v>
          </cell>
        </row>
        <row r="112">
          <cell r="C112" t="str">
            <v>Diseño de algoritmos para la creación de nuevas variables o unidades</v>
          </cell>
        </row>
        <row r="113">
          <cell r="C113" t="str">
            <v>Modelo de base de datos del procesamiento</v>
          </cell>
        </row>
        <row r="114">
          <cell r="C114" t="str">
            <v>Diseño de algoritmos para cálculo de agregaciones y medidas estadísticas</v>
          </cell>
        </row>
        <row r="115">
          <cell r="C115" t="str">
            <v>Documento de metodología y algoritmos para finalizar el procesamiento y análisis de resultados</v>
          </cell>
        </row>
        <row r="116">
          <cell r="C116" t="str">
            <v>Cronograma para la codificación</v>
          </cell>
        </row>
        <row r="117">
          <cell r="C117" t="str">
            <v>Plantilla del personal y roles requeridos para la codificación</v>
          </cell>
        </row>
        <row r="118">
          <cell r="C118" t="str">
            <v>Estrategia de la codificación</v>
          </cell>
        </row>
        <row r="119">
          <cell r="C119" t="str">
            <v>Manuales para la codificación de los datos</v>
          </cell>
        </row>
        <row r="120">
          <cell r="C120" t="str">
            <v>Material de capacitación para la codificación</v>
          </cell>
        </row>
        <row r="121">
          <cell r="C121" t="str">
            <v>Diseño de la evaluación para la codificación</v>
          </cell>
        </row>
        <row r="122">
          <cell r="C122" t="str">
            <v>Estrategia de la validación</v>
          </cell>
        </row>
        <row r="123">
          <cell r="C123" t="str">
            <v>Cronograma para la validación</v>
          </cell>
        </row>
        <row r="124">
          <cell r="C124" t="str">
            <v>Plantilla del personal y roles requeridos para la validación</v>
          </cell>
        </row>
        <row r="125">
          <cell r="C125" t="str">
            <v>Manuales para la validación automática y validación manual</v>
          </cell>
        </row>
        <row r="126">
          <cell r="C126" t="str">
            <v>Material de capacitación para la validación</v>
          </cell>
        </row>
        <row r="127">
          <cell r="C127" t="str">
            <v>Requerimientos específicos en materia de seguridad de la información</v>
          </cell>
        </row>
        <row r="128">
          <cell r="C128" t="str">
            <v>Diseño de algoritmos y estrategia para anonimización de datos</v>
          </cell>
        </row>
        <row r="129">
          <cell r="C129" t="str">
            <v>Definición de roles que participan en el compromiso de confidencialidad</v>
          </cell>
        </row>
        <row r="130">
          <cell r="C130" t="str">
            <v>Otros controles de confidencialidad estadística</v>
          </cell>
        </row>
        <row r="131">
          <cell r="C131" t="str">
            <v>Estrategias y mecanismos para almacenamiento y conservación de la información</v>
          </cell>
        </row>
        <row r="132">
          <cell r="C132" t="str">
            <v>Modelo de datos del conjunto de información</v>
          </cell>
        </row>
        <row r="133">
          <cell r="C133" t="str">
            <v>Esquema de difusión</v>
          </cell>
        </row>
        <row r="134">
          <cell r="C134" t="str">
            <v>Oficio de retroalimentación del esquema de difusión</v>
          </cell>
        </row>
        <row r="135">
          <cell r="C135" t="str">
            <v>Modelo de datos del sistema administrador</v>
          </cell>
        </row>
        <row r="136">
          <cell r="C136" t="str">
            <v>Sistema para la captación</v>
          </cell>
        </row>
        <row r="137">
          <cell r="C137" t="str">
            <v>Sistema administrador para seguimiento y control operativo</v>
          </cell>
        </row>
        <row r="138">
          <cell r="C138" t="str">
            <v>Documentación del respaldo del sistema</v>
          </cell>
        </row>
        <row r="139">
          <cell r="C139" t="str">
            <v>Documentación técnica del sistema</v>
          </cell>
        </row>
        <row r="140">
          <cell r="C140" t="str">
            <v>Manual del sistema para la captación</v>
          </cell>
        </row>
        <row r="141">
          <cell r="C141" t="str">
            <v>Sistema para la integración de datos</v>
          </cell>
        </row>
        <row r="142">
          <cell r="C142" t="str">
            <v>Sistema para la codificación</v>
          </cell>
        </row>
        <row r="143">
          <cell r="C143" t="str">
            <v>Manual del sistema para la codificación</v>
          </cell>
        </row>
        <row r="144">
          <cell r="C144" t="str">
            <v>Sistema para la validación, edición e imputación</v>
          </cell>
        </row>
        <row r="145">
          <cell r="C145" t="str">
            <v>Manual del sistema para la validación, edición e imputación</v>
          </cell>
        </row>
        <row r="146">
          <cell r="C146" t="str">
            <v>Sistema para nuevas variables o unidades</v>
          </cell>
        </row>
        <row r="147">
          <cell r="C147" t="str">
            <v>Sistema para el cálculo y calibración de ponderadores</v>
          </cell>
        </row>
        <row r="148">
          <cell r="C148" t="str">
            <v>Sistema para el cálculo de agregaciones y medidas estadísticas</v>
          </cell>
        </row>
        <row r="149">
          <cell r="C149" t="str">
            <v>Manuales de los sistemas para el procesamiento</v>
          </cell>
        </row>
        <row r="150">
          <cell r="C150" t="str">
            <v>Manuales de otros sistemas para el procesamiento</v>
          </cell>
        </row>
        <row r="151">
          <cell r="C151" t="str">
            <v>Estrategia de capacitación del personal para procesamiento</v>
          </cell>
        </row>
        <row r="152">
          <cell r="C152" t="str">
            <v>Sistema para el cálculo de resultados estadísticos e indicadores de calidad</v>
          </cell>
        </row>
        <row r="153">
          <cell r="C153" t="str">
            <v>Manual del sistema para el cálculo de resultados est. e indicadores de calidad</v>
          </cell>
        </row>
        <row r="154">
          <cell r="C154" t="str">
            <v>Sistema para la difusión</v>
          </cell>
        </row>
        <row r="155">
          <cell r="C155" t="str">
            <v>Manual del sistema para la difusión</v>
          </cell>
        </row>
        <row r="156">
          <cell r="C156" t="str">
            <v>Sistema para la gestión de flujo de trabajo</v>
          </cell>
        </row>
        <row r="157">
          <cell r="C157" t="str">
            <v>Manual del sistema para la gestión de flujo de trabajo</v>
          </cell>
        </row>
        <row r="158">
          <cell r="C158" t="str">
            <v>Documentación integrada de las pruebas de los sistemas para la producción</v>
          </cell>
        </row>
        <row r="159">
          <cell r="C159" t="str">
            <v>Documentación de las pruebas del sistema para la captación</v>
          </cell>
        </row>
        <row r="160">
          <cell r="C160" t="str">
            <v>Documentación de las pruebas del sistema para la codificación</v>
          </cell>
        </row>
        <row r="161">
          <cell r="C161" t="str">
            <v>Documentación de las pruebas del sistema para el cálculo y calibración de ponderadores</v>
          </cell>
        </row>
        <row r="162">
          <cell r="C162" t="str">
            <v>Documentación de las pruebas del sistema para la validación, edición e imputación</v>
          </cell>
        </row>
        <row r="163">
          <cell r="C163" t="str">
            <v>Documentación de las pruebas del sistema para nuevas variables o unidades</v>
          </cell>
        </row>
        <row r="164">
          <cell r="C164" t="str">
            <v>Documentación de las pruebas del sistema para el cálculo de agregaciones y medidas estadísticas</v>
          </cell>
        </row>
        <row r="165">
          <cell r="C165" t="str">
            <v>Documentación de las pruebas del sistema para el análisis de la producción</v>
          </cell>
        </row>
        <row r="166">
          <cell r="C166" t="str">
            <v>Documentación de las pruebas del sistema para la difusión</v>
          </cell>
        </row>
        <row r="167">
          <cell r="C167" t="str">
            <v>Documentación de las pruebas del sistema para la gestión de flujo de trabajo</v>
          </cell>
        </row>
        <row r="168">
          <cell r="C168" t="str">
            <v>Tramos de control de la prueba de campo o piloto</v>
          </cell>
        </row>
        <row r="169">
          <cell r="C169" t="str">
            <v>Muestra para la prueba</v>
          </cell>
        </row>
        <row r="170">
          <cell r="C170" t="str">
            <v>Muestra para la prueba de campo o piloto</v>
          </cell>
        </row>
        <row r="171">
          <cell r="C171" t="str">
            <v>Resultados de la evaluación de la capacitación de la prueba de campo o piloto</v>
          </cell>
        </row>
        <row r="172">
          <cell r="C172" t="str">
            <v>Logística de la prueba de campo o piloto</v>
          </cell>
        </row>
        <row r="173">
          <cell r="C173" t="str">
            <v>Documentación del levantamiento de la prueba de campo o piloto</v>
          </cell>
        </row>
        <row r="174">
          <cell r="C174" t="str">
            <v>Datos captados de la prueba de campo o piloto</v>
          </cell>
        </row>
        <row r="175">
          <cell r="C175" t="str">
            <v>Documentación del procesamiento de la prueba de campo o piloto</v>
          </cell>
        </row>
        <row r="176">
          <cell r="C176" t="str">
            <v>Datos procesados de la prueba de campo o piloto</v>
          </cell>
        </row>
        <row r="177">
          <cell r="C177" t="str">
            <v>Documentación del análisis de la producción de la prueba de campo o piloto</v>
          </cell>
        </row>
        <row r="178">
          <cell r="C178" t="str">
            <v>Resultados de la prueba de campo o piloto</v>
          </cell>
        </row>
        <row r="179">
          <cell r="C179" t="str">
            <v>Análisis de resultados de la prueba de campo o piloto</v>
          </cell>
        </row>
        <row r="180">
          <cell r="C180" t="str">
            <v>Documentación de mejoras a los sistemas de producción</v>
          </cell>
        </row>
        <row r="181">
          <cell r="C181" t="str">
            <v>Notificación y reporte del despliegue del sistema para la captación en el entorno de producción</v>
          </cell>
        </row>
        <row r="182">
          <cell r="C182" t="str">
            <v>Notificación y reporte del despliegue del sistema para la codificación</v>
          </cell>
        </row>
        <row r="183">
          <cell r="C183" t="str">
            <v>Notificación y reporte del despliegue del sistema para la validación, edición e imputación</v>
          </cell>
        </row>
        <row r="184">
          <cell r="C184" t="str">
            <v>Notificación y reporte del despliegue de otros sistemas para el procesamiento y análisis</v>
          </cell>
        </row>
        <row r="185">
          <cell r="C185" t="str">
            <v>Notificación y reporte del despliegue del sistema para la captación en entorno de producción para AT</v>
          </cell>
        </row>
        <row r="186">
          <cell r="C186" t="str">
            <v>Resultados de la capacitación a personal responsable del sistema para la captación en OC</v>
          </cell>
        </row>
        <row r="187">
          <cell r="C187" t="str">
            <v>Resultados de la capacitación a personal responsable del sistema para la codificación</v>
          </cell>
        </row>
        <row r="188">
          <cell r="C188" t="str">
            <v>Resultados de la capacitación a personal responsable del sistema para validación, ed. e imputación</v>
          </cell>
        </row>
        <row r="189">
          <cell r="C189" t="str">
            <v>Resultados de la capacitación a personal responsable de otros sistemas para procesamiento y análisis</v>
          </cell>
        </row>
        <row r="190">
          <cell r="C190" t="str">
            <v>Resultados de la capacitación a personal responsable del sistema para la captación en AT</v>
          </cell>
        </row>
        <row r="191">
          <cell r="C191" t="str">
            <v>Plantilla del personal contratado en OC</v>
          </cell>
        </row>
        <row r="192">
          <cell r="C192" t="str">
            <v>Plantilla del personal contratado en AT</v>
          </cell>
        </row>
        <row r="193">
          <cell r="C193" t="str">
            <v>Cronograma general del operativo de captación</v>
          </cell>
        </row>
        <row r="194">
          <cell r="C194" t="str">
            <v>Formatos para el seguimiento y control del operativo</v>
          </cell>
        </row>
        <row r="195">
          <cell r="C195" t="str">
            <v>Procedimientos específicos para la logística del levantamiento</v>
          </cell>
        </row>
        <row r="196">
          <cell r="C196" t="str">
            <v>Cargas de trabajo y tramos de control</v>
          </cell>
        </row>
        <row r="197">
          <cell r="C197" t="str">
            <v>Esquema de captación</v>
          </cell>
        </row>
        <row r="198">
          <cell r="C198" t="str">
            <v>Conclusión de captura de planeación</v>
          </cell>
        </row>
        <row r="199">
          <cell r="C199" t="str">
            <v>Resultado de visitas realizadas</v>
          </cell>
        </row>
        <row r="200">
          <cell r="C200" t="str">
            <v>Informe de las acciones de comunicación y concertación</v>
          </cell>
        </row>
        <row r="201">
          <cell r="C201" t="str">
            <v>Cartografía para el operativo</v>
          </cell>
        </row>
        <row r="202">
          <cell r="C202" t="str">
            <v>Listado de recursos materiales disponibles</v>
          </cell>
        </row>
        <row r="203">
          <cell r="C203" t="str">
            <v>Listado de equipos disponibles</v>
          </cell>
        </row>
        <row r="204">
          <cell r="C204" t="str">
            <v>Notificación VCF de aceptación de suficiencia de mat. y eq. de captación y capacitación</v>
          </cell>
        </row>
        <row r="205">
          <cell r="C205" t="str">
            <v>Listado de entrega o devolución de materiales, equipos para la captación y manuales</v>
          </cell>
        </row>
        <row r="206">
          <cell r="C206" t="str">
            <v>Notificación DI-DGOR de disponibilidad de sistemas para capacitación</v>
          </cell>
        </row>
        <row r="207">
          <cell r="C207" t="str">
            <v>Plataforma de consulta para el ámbito territorial</v>
          </cell>
        </row>
        <row r="208">
          <cell r="C208" t="str">
            <v>Notificación de sistemas listos para el operativo de campo en OC</v>
          </cell>
        </row>
        <row r="209">
          <cell r="C209" t="str">
            <v>Listado de equipos verificados en AT</v>
          </cell>
        </row>
        <row r="210">
          <cell r="C210" t="str">
            <v>Aviso de disponibilidad de los sistemas computacionales para la captación</v>
          </cell>
        </row>
        <row r="211">
          <cell r="C211" t="str">
            <v>Cuestionario y materiales impresos</v>
          </cell>
        </row>
        <row r="212">
          <cell r="C212" t="str">
            <v>Reporte de materiales, equipos y suministros distribuidos</v>
          </cell>
        </row>
        <row r="213">
          <cell r="C213" t="str">
            <v>Relación de recursos asignados</v>
          </cell>
        </row>
        <row r="214">
          <cell r="C214" t="str">
            <v>Reporte de la capacitación a personal para la captación en OC</v>
          </cell>
        </row>
        <row r="215">
          <cell r="C215" t="str">
            <v>Evaluación del personal capacitado para la captación en OC</v>
          </cell>
        </row>
        <row r="216">
          <cell r="C216" t="str">
            <v>Reporte de VCF de capacitación</v>
          </cell>
        </row>
        <row r="217">
          <cell r="C217" t="str">
            <v>Evaluación de figuras operativas capacitadas en AT</v>
          </cell>
        </row>
        <row r="218">
          <cell r="C218" t="str">
            <v>Informe de capacitación (de VCF a RF)</v>
          </cell>
        </row>
        <row r="219">
          <cell r="C219" t="str">
            <v>Reporte de la capacitación a personal para la codificación en OC</v>
          </cell>
        </row>
        <row r="220">
          <cell r="C220" t="str">
            <v>Evaluación del personal capacitado para la codificación en OC</v>
          </cell>
        </row>
        <row r="221">
          <cell r="C221" t="str">
            <v>Reporte de la capacitación al personal para la validación, edición e imputación en OC</v>
          </cell>
        </row>
        <row r="222">
          <cell r="C222" t="str">
            <v>Evaluación del personal capacitado para la validación, edición e imputación en OC</v>
          </cell>
        </row>
        <row r="223">
          <cell r="C223" t="str">
            <v>Resultado de la entrevista</v>
          </cell>
        </row>
        <row r="224">
          <cell r="C224" t="str">
            <v>Datos captados de los informantes en papel (en caso de ser necesario)</v>
          </cell>
        </row>
        <row r="225">
          <cell r="C225" t="str">
            <v>Datos de los cuestionarios en el sistema para la captación</v>
          </cell>
        </row>
        <row r="226">
          <cell r="C226" t="str">
            <v>Reporte de captación, supervisión y seguimiento</v>
          </cell>
        </row>
        <row r="227">
          <cell r="C227" t="str">
            <v>Notificación de VCF de recepción en tiempo según lo previsto de sistemas para la captación</v>
          </cell>
        </row>
        <row r="228">
          <cell r="C228" t="str">
            <v>Reporte de seguimiento, avance y cifras de control en OC</v>
          </cell>
        </row>
        <row r="229">
          <cell r="C229" t="str">
            <v>Bitácora de captura</v>
          </cell>
        </row>
        <row r="230">
          <cell r="C230" t="str">
            <v>Reporte de validación del operativo</v>
          </cell>
        </row>
        <row r="231">
          <cell r="C231" t="str">
            <v>Datos de validación de campo en el sistema para la captación</v>
          </cell>
        </row>
        <row r="232">
          <cell r="C232" t="str">
            <v>Reporte de verificación y ajustes</v>
          </cell>
        </row>
        <row r="233">
          <cell r="C233" t="str">
            <v>Datos de cuestionarios liberados en AT</v>
          </cell>
        </row>
        <row r="234">
          <cell r="C234" t="str">
            <v>Datos integrados en servidor de AT</v>
          </cell>
        </row>
        <row r="235">
          <cell r="C235" t="str">
            <v>Notificación de recepción y verificación de los datos</v>
          </cell>
        </row>
        <row r="236">
          <cell r="C236" t="str">
            <v>Datos de captación concentrados y verificados</v>
          </cell>
        </row>
        <row r="237">
          <cell r="C237" t="str">
            <v>Metadatos del proceso de captación de datos</v>
          </cell>
        </row>
        <row r="238">
          <cell r="C238" t="str">
            <v>Reporte integrado de la captación</v>
          </cell>
        </row>
        <row r="239">
          <cell r="C239" t="str">
            <v>Informe de supervisión</v>
          </cell>
        </row>
        <row r="240">
          <cell r="C240" t="str">
            <v>Notificación de VCF a RF del reporte de bitácoras de supervisión y seguimiento</v>
          </cell>
        </row>
        <row r="241">
          <cell r="C241" t="str">
            <v>Conjunto de datos captados</v>
          </cell>
        </row>
        <row r="242">
          <cell r="C242" t="str">
            <v>Documento operativo</v>
          </cell>
        </row>
        <row r="243">
          <cell r="C243" t="str">
            <v>Datos complementarios seleccionados</v>
          </cell>
        </row>
        <row r="244">
          <cell r="C244" t="str">
            <v>Metadatos del proceso de integración del conjunto de datos</v>
          </cell>
        </row>
        <row r="245">
          <cell r="C245" t="str">
            <v>Variables o registros por clasificar, codificar y geoprocesar</v>
          </cell>
        </row>
        <row r="246">
          <cell r="C246" t="str">
            <v>Metadatos del proceso de clasificación, codificación y geoprocesamiento de los datos</v>
          </cell>
        </row>
        <row r="247">
          <cell r="C247" t="str">
            <v>Conjunto de datos con variables clasificadas, codificadas y geoprocesadas</v>
          </cell>
        </row>
        <row r="248">
          <cell r="C248" t="str">
            <v>Registros detectados con inconsistencias en los datos</v>
          </cell>
        </row>
        <row r="249">
          <cell r="C249" t="str">
            <v>Metadatos del proceso de validación de datos (bitácora de validación)</v>
          </cell>
        </row>
        <row r="250">
          <cell r="C250" t="str">
            <v>Conjunto de datos validado</v>
          </cell>
        </row>
        <row r="251">
          <cell r="C251" t="str">
            <v>Registro de determinación de uso para edición e imputación</v>
          </cell>
        </row>
        <row r="252">
          <cell r="C252" t="str">
            <v>Selección de la metodología para la edición e imputación</v>
          </cell>
        </row>
        <row r="253">
          <cell r="C253" t="str">
            <v>Conjunto de datos con edición e imputación</v>
          </cell>
        </row>
        <row r="254">
          <cell r="C254" t="str">
            <v>Metadatos del proceso de edición e imputación de datos</v>
          </cell>
        </row>
        <row r="255">
          <cell r="C255" t="str">
            <v>Selección del método de derivación</v>
          </cell>
        </row>
        <row r="256">
          <cell r="C256" t="str">
            <v>Conjunto de datos con variables derivadas y datos auxiliares</v>
          </cell>
        </row>
        <row r="257">
          <cell r="C257" t="str">
            <v>Metadatos del proceso de variables derivadas y datos auxiliares</v>
          </cell>
        </row>
        <row r="258">
          <cell r="C258" t="str">
            <v>Conjunto de datos con ponderadores</v>
          </cell>
        </row>
        <row r="259">
          <cell r="C259" t="str">
            <v>Metadatos del proceso de cálculo y calibración de ponderadores</v>
          </cell>
        </row>
        <row r="260">
          <cell r="C260" t="str">
            <v>Metadatos del proceso de cálculo de datos agregados e indicadores objetivo</v>
          </cell>
        </row>
        <row r="261">
          <cell r="C261" t="str">
            <v>Datos agregados e indicadores objetivo</v>
          </cell>
        </row>
        <row r="262">
          <cell r="C262" t="str">
            <v>Metadatos del proceso del cálculo de estadísticas complementarias</v>
          </cell>
        </row>
        <row r="263">
          <cell r="C263" t="str">
            <v>Medidas de estadísticas complementarias</v>
          </cell>
        </row>
        <row r="264">
          <cell r="C264" t="str">
            <v>Metadatos del proceso de cálculo de errores e indicadores de precisión</v>
          </cell>
        </row>
        <row r="265">
          <cell r="C265" t="str">
            <v>Errores e indicadores de precisión</v>
          </cell>
        </row>
        <row r="266">
          <cell r="C266" t="str">
            <v>Conjunto de datos procesados</v>
          </cell>
        </row>
        <row r="267">
          <cell r="C267" t="str">
            <v>Metadatos del procesamiento</v>
          </cell>
        </row>
        <row r="268">
          <cell r="C268" t="str">
            <v>Conjunto de resultados estadísticos</v>
          </cell>
        </row>
        <row r="269">
          <cell r="C269" t="str">
            <v>Metadatos del proceso de cálculo de resultados estadísticos</v>
          </cell>
        </row>
        <row r="270">
          <cell r="C270" t="str">
            <v>Metadatos del proceso de índices, tendencias y otras medidas estadísticas</v>
          </cell>
        </row>
        <row r="271">
          <cell r="C271" t="str">
            <v>Índices, tendencias y otras medidas estadísticas</v>
          </cell>
        </row>
        <row r="272">
          <cell r="C272" t="str">
            <v>Metadatos del proceso de cálculo de indicadores de calidad</v>
          </cell>
        </row>
        <row r="273">
          <cell r="C273" t="str">
            <v>Indicadores de calidad</v>
          </cell>
        </row>
        <row r="274">
          <cell r="C274" t="str">
            <v>Reporte de la confiabilidad de los datos</v>
          </cell>
        </row>
        <row r="275">
          <cell r="C275" t="str">
            <v>Reporte de comparabilidad con otros ciclos</v>
          </cell>
        </row>
        <row r="276">
          <cell r="C276" t="str">
            <v>Reporte de consistencia con otras fuentes</v>
          </cell>
        </row>
        <row r="277">
          <cell r="C277" t="str">
            <v>Reporte de análisis de inconsistencias</v>
          </cell>
        </row>
        <row r="278">
          <cell r="C278" t="str">
            <v>Justificación de validez de resultados</v>
          </cell>
        </row>
        <row r="279">
          <cell r="C279" t="str">
            <v>Modelo de base de datos (actualizado)</v>
          </cell>
        </row>
        <row r="280">
          <cell r="C280" t="str">
            <v>Conjunto de datos con controles de difusión</v>
          </cell>
        </row>
        <row r="281">
          <cell r="C281" t="str">
            <v>Formato de registro en el RBD&amp;RIE</v>
          </cell>
        </row>
        <row r="282">
          <cell r="C282" t="str">
            <v>Metadatos del conjunto de información</v>
          </cell>
        </row>
        <row r="283">
          <cell r="C283" t="str">
            <v>Conjunto de información</v>
          </cell>
        </row>
        <row r="284">
          <cell r="C284" t="str">
            <v>Notas técnicas</v>
          </cell>
        </row>
        <row r="285">
          <cell r="C285" t="str">
            <v>Publicaciones electrónicas</v>
          </cell>
        </row>
        <row r="286">
          <cell r="C286" t="str">
            <v>Comunicados de prensa</v>
          </cell>
        </row>
        <row r="287">
          <cell r="C287" t="str">
            <v>Notificación de liberación de la información a publicar</v>
          </cell>
        </row>
        <row r="288">
          <cell r="C288" t="str">
            <v>Documento de análisis de la producción</v>
          </cell>
        </row>
        <row r="289">
          <cell r="C289" t="str">
            <v>Documentos metodológicos</v>
          </cell>
        </row>
        <row r="290">
          <cell r="C290" t="str">
            <v>Metadatos referenciales en el sitio de pruebas</v>
          </cell>
        </row>
        <row r="291">
          <cell r="C291" t="str">
            <v>Reportes, acuses u oficios de entrega-recepción entre las UA productoras y la DGCSPIRI</v>
          </cell>
        </row>
        <row r="292">
          <cell r="C292" t="str">
            <v>Imagen de productos, presentaciones publicadas, metadatos y documentos asociados</v>
          </cell>
        </row>
        <row r="293">
          <cell r="C293" t="str">
            <v>Información de Interés Nacional publicada en el Sitio del SNIEG (Vínculos al sitio del INEGI)</v>
          </cell>
        </row>
        <row r="294">
          <cell r="C294" t="str">
            <v>Reporte o informe de promoción</v>
          </cell>
        </row>
        <row r="295">
          <cell r="C295" t="str">
            <v>Recursos de promoción difundidos (folletos, infografías, productos de comunicación)</v>
          </cell>
        </row>
        <row r="296">
          <cell r="C296" t="str">
            <v>Registro de atención de solicitudes de acceso a la información y procesamiento adicional de datos</v>
          </cell>
        </row>
        <row r="297">
          <cell r="C297" t="str">
            <v>Insumos para la evaluación del proceso</v>
          </cell>
        </row>
        <row r="298">
          <cell r="C298" t="str">
            <v>Reporte de evaluación del proceso</v>
          </cell>
        </row>
        <row r="299">
          <cell r="C299" t="str">
            <v>Plan de acción</v>
          </cell>
        </row>
        <row r="300">
          <cell r="C300"/>
        </row>
        <row r="301">
          <cell r="C301" t="str">
            <v>Requerimientos de información</v>
          </cell>
        </row>
        <row r="302">
          <cell r="C302" t="str">
            <v>Recomendaciones internacionales</v>
          </cell>
        </row>
        <row r="303">
          <cell r="C303" t="str">
            <v>Documentación de cambios en el entorno</v>
          </cell>
        </row>
        <row r="304">
          <cell r="C304" t="str">
            <v>Disposiciones legales y administrativas de acceso a los datos</v>
          </cell>
        </row>
        <row r="305">
          <cell r="C305" t="str">
            <v>Inventario de Programas de Información</v>
          </cell>
        </row>
        <row r="306">
          <cell r="C306" t="str">
            <v>Normateca</v>
          </cell>
        </row>
        <row r="307">
          <cell r="C307" t="str">
            <v>Sistema de compilación normativa del SNIEG</v>
          </cell>
        </row>
        <row r="308">
          <cell r="C308" t="str">
            <v>Lista de actividades a ejecutar y participantes</v>
          </cell>
        </row>
        <row r="309">
          <cell r="C309" t="str">
            <v>Recursos materiales disponibles (SIA)</v>
          </cell>
        </row>
        <row r="310">
          <cell r="C310" t="str">
            <v>Sitio de publicaciones del INEGI</v>
          </cell>
        </row>
        <row r="311">
          <cell r="C311" t="str">
            <v>Convenios de colaboración</v>
          </cell>
        </row>
        <row r="312">
          <cell r="C312" t="str">
            <v>Guía de diseño conceptual para encuestas</v>
          </cell>
        </row>
        <row r="313">
          <cell r="C313" t="str">
            <v>Listado de infraestructura de información</v>
          </cell>
        </row>
        <row r="314">
          <cell r="C314" t="str">
            <v>Catálogo de usuarios</v>
          </cell>
        </row>
        <row r="315">
          <cell r="C315" t="str">
            <v>Otros mecanismos para la seguridad y confidencialidad estadística de la información</v>
          </cell>
        </row>
        <row r="316">
          <cell r="C316" t="str">
            <v>Estándar BPMN</v>
          </cell>
        </row>
        <row r="317">
          <cell r="C317" t="str">
            <v>Arquitectura de datos revelada de los PP</v>
          </cell>
        </row>
        <row r="318">
          <cell r="C318" t="str">
            <v>Catálogo de tareas</v>
          </cell>
        </row>
        <row r="319">
          <cell r="C319" t="str">
            <v>Catálogo de objetos de información</v>
          </cell>
        </row>
        <row r="320">
          <cell r="C320" t="str">
            <v>Catálogo de roles</v>
          </cell>
        </row>
        <row r="321">
          <cell r="C321" t="str">
            <v>Marco Geoestadístico</v>
          </cell>
        </row>
        <row r="322">
          <cell r="C322" t="str">
            <v>Procedimientos administrativos para la contratación del personal</v>
          </cell>
        </row>
        <row r="323">
          <cell r="C323" t="str">
            <v>Marco de muestreo por actualizar</v>
          </cell>
        </row>
        <row r="324">
          <cell r="C324" t="str">
            <v>Marco de muestreo</v>
          </cell>
        </row>
        <row r="325">
          <cell r="C325" t="str">
            <v>Fichas de indicadores de precisión para indicadores objetivo</v>
          </cell>
        </row>
        <row r="326">
          <cell r="C326" t="str">
            <v>Marco de población objetivo por actualizar</v>
          </cell>
        </row>
        <row r="327">
          <cell r="C327" t="str">
            <v>Marco de población objetivo</v>
          </cell>
        </row>
        <row r="328">
          <cell r="C328" t="str">
            <v>Guía de diseño de la muestra para encuestas</v>
          </cell>
        </row>
        <row r="329">
          <cell r="C329" t="str">
            <v>Métodos de edición e imputación de datos investigados</v>
          </cell>
        </row>
        <row r="330">
          <cell r="C330" t="str">
            <v>Fichas de los indicadores de calidad</v>
          </cell>
        </row>
        <row r="331">
          <cell r="C331" t="str">
            <v>Sistema de Inventarios de Seguridad de la Información</v>
          </cell>
        </row>
        <row r="332">
          <cell r="C332" t="str">
            <v>Acuerdos y protocolos de difusión o intercambio</v>
          </cell>
        </row>
        <row r="333">
          <cell r="C333" t="str">
            <v>Convenios o acuerdos especiales para la prueba de campo o piloto</v>
          </cell>
        </row>
        <row r="334">
          <cell r="C334" t="str">
            <v>Especificación de roles y accesos</v>
          </cell>
        </row>
        <row r="335">
          <cell r="C335" t="str">
            <v>Convenios y acuerdos para la captación</v>
          </cell>
        </row>
        <row r="336">
          <cell r="C336" t="str">
            <v>Lineamientos administrativos para la ministración de recursos</v>
          </cell>
        </row>
        <row r="337">
          <cell r="C337" t="str">
            <v>Respaldo de conjunto de datos captados, del sist. para la captación y del sist. administrador</v>
          </cell>
        </row>
        <row r="338">
          <cell r="C338" t="str">
            <v>Datos geoespaciales</v>
          </cell>
        </row>
        <row r="339">
          <cell r="C339" t="str">
            <v>Registros administrativos</v>
          </cell>
        </row>
        <row r="340">
          <cell r="C340" t="str">
            <v>Datos de otros procesos de producción</v>
          </cell>
        </row>
        <row r="341">
          <cell r="C341" t="str">
            <v>Datos de otras fuentes de información</v>
          </cell>
        </row>
        <row r="342">
          <cell r="C342" t="str">
            <v>Datos recabados en la encuesta de opinión</v>
          </cell>
        </row>
        <row r="343">
          <cell r="C343" t="str">
            <v>Informe de resultados en la encuesta de opinión</v>
          </cell>
        </row>
        <row r="344">
          <cell r="C344" t="str">
            <v>Solicitudes de personas usuarias de la información</v>
          </cell>
        </row>
        <row r="345">
          <cell r="C345" t="str">
            <v>Retroalimentación de personas usuarias</v>
          </cell>
        </row>
        <row r="346">
          <cell r="C346" t="str">
            <v>Banco de variables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Plantillas_Dise&#241;oConceptual_GDCE_18mar2026.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35804-144B-4702-B8A1-F4470F19006D}">
  <dimension ref="A1:Y350"/>
  <sheetViews>
    <sheetView tabSelected="1" topLeftCell="J1" workbookViewId="0">
      <selection activeCell="C342" sqref="C342"/>
    </sheetView>
  </sheetViews>
  <sheetFormatPr baseColWidth="10" defaultColWidth="11.3828125" defaultRowHeight="14.6" x14ac:dyDescent="0.4"/>
  <cols>
    <col min="1" max="1" width="13.69140625" style="4" customWidth="1"/>
    <col min="2" max="2" width="18.69140625" style="2" customWidth="1"/>
    <col min="3" max="3" width="60.69140625" style="3" customWidth="1"/>
    <col min="4" max="4" width="13.3828125" style="2" customWidth="1"/>
    <col min="5" max="5" width="7.3828125" style="2" bestFit="1" customWidth="1"/>
    <col min="6" max="6" width="60.69140625" style="3" customWidth="1"/>
    <col min="7" max="7" width="7.69140625" style="2" customWidth="1"/>
    <col min="8" max="8" width="60.69140625" style="3" customWidth="1"/>
    <col min="9" max="9" width="12" style="2" customWidth="1"/>
    <col min="10" max="10" width="60.69140625" style="3" customWidth="1"/>
    <col min="11" max="11" width="12.69140625" style="2" customWidth="1"/>
    <col min="12" max="12" width="60.69140625" style="3" customWidth="1"/>
    <col min="13" max="15" width="11.3828125" style="4"/>
    <col min="16" max="16" width="15.69140625" style="4" customWidth="1"/>
    <col min="17" max="17" width="15.84375" style="4" customWidth="1"/>
    <col min="18" max="18" width="12.53515625" style="2" customWidth="1"/>
    <col min="19" max="19" width="11.3828125" style="2"/>
    <col min="20" max="20" width="29" style="3" customWidth="1"/>
    <col min="21" max="21" width="11.3828125" style="2"/>
    <col min="22" max="22" width="18.3828125" style="2" bestFit="1" customWidth="1"/>
    <col min="23" max="23" width="14" style="2" customWidth="1"/>
    <col min="24" max="16384" width="11.3828125" style="2"/>
  </cols>
  <sheetData>
    <row r="1" spans="1:25" ht="18.45" x14ac:dyDescent="0.4">
      <c r="A1" s="1" t="s">
        <v>0</v>
      </c>
    </row>
    <row r="2" spans="1:25" x14ac:dyDescent="0.4">
      <c r="A2" s="21" t="s">
        <v>1</v>
      </c>
      <c r="B2" s="21" t="s">
        <v>2</v>
      </c>
      <c r="C2" s="21" t="s">
        <v>3</v>
      </c>
      <c r="D2" s="21" t="s">
        <v>4</v>
      </c>
      <c r="E2" s="22" t="s">
        <v>5</v>
      </c>
      <c r="F2" s="22"/>
      <c r="G2" s="22"/>
      <c r="H2" s="22"/>
      <c r="I2" s="22"/>
      <c r="J2" s="22"/>
      <c r="K2" s="22"/>
      <c r="L2" s="22"/>
      <c r="M2" s="23" t="s">
        <v>6</v>
      </c>
      <c r="N2" s="23"/>
      <c r="O2" s="23"/>
      <c r="P2" s="23"/>
      <c r="Q2" s="23"/>
      <c r="R2" s="21" t="s">
        <v>7</v>
      </c>
      <c r="S2" s="22" t="s">
        <v>8</v>
      </c>
      <c r="T2" s="22" t="s">
        <v>9</v>
      </c>
      <c r="U2" s="21" t="s">
        <v>10</v>
      </c>
      <c r="V2" s="21" t="s">
        <v>11</v>
      </c>
      <c r="W2" s="21" t="s">
        <v>12</v>
      </c>
    </row>
    <row r="3" spans="1:25" s="5" customFormat="1" ht="87.45" x14ac:dyDescent="0.4">
      <c r="A3" s="21"/>
      <c r="B3" s="21"/>
      <c r="C3" s="21"/>
      <c r="D3" s="21"/>
      <c r="E3" s="5" t="s">
        <v>13</v>
      </c>
      <c r="F3" s="5" t="s">
        <v>14</v>
      </c>
      <c r="G3" s="5" t="s">
        <v>15</v>
      </c>
      <c r="H3" s="5" t="s">
        <v>16</v>
      </c>
      <c r="I3" s="5" t="s">
        <v>17</v>
      </c>
      <c r="J3" s="5" t="s">
        <v>18</v>
      </c>
      <c r="K3" s="5" t="s">
        <v>19</v>
      </c>
      <c r="L3" s="5" t="s">
        <v>20</v>
      </c>
      <c r="M3" s="6" t="s">
        <v>21</v>
      </c>
      <c r="N3" s="6" t="s">
        <v>22</v>
      </c>
      <c r="O3" s="6" t="s">
        <v>23</v>
      </c>
      <c r="P3" s="6" t="s">
        <v>24</v>
      </c>
      <c r="Q3" s="6" t="s">
        <v>25</v>
      </c>
      <c r="R3" s="21"/>
      <c r="S3" s="22"/>
      <c r="T3" s="22"/>
      <c r="U3" s="21"/>
      <c r="V3" s="21"/>
      <c r="W3" s="21"/>
      <c r="Y3" s="5" t="s">
        <v>26</v>
      </c>
    </row>
    <row r="4" spans="1:25" ht="29.15" x14ac:dyDescent="0.4">
      <c r="A4" s="4">
        <v>1</v>
      </c>
      <c r="B4" s="2" t="s">
        <v>27</v>
      </c>
      <c r="C4" s="3" t="s">
        <v>28</v>
      </c>
      <c r="D4" s="2" t="s">
        <v>29</v>
      </c>
      <c r="E4" s="2" t="s">
        <v>30</v>
      </c>
      <c r="F4" s="3" t="s">
        <v>31</v>
      </c>
      <c r="G4" s="2" t="s">
        <v>32</v>
      </c>
      <c r="H4" s="3" t="s">
        <v>33</v>
      </c>
      <c r="I4" s="2" t="s">
        <v>34</v>
      </c>
      <c r="J4" s="3" t="s">
        <v>35</v>
      </c>
      <c r="K4" s="2" t="s">
        <v>36</v>
      </c>
      <c r="L4" s="3" t="s">
        <v>37</v>
      </c>
      <c r="N4" s="4" t="s">
        <v>38</v>
      </c>
      <c r="O4" s="4" t="s">
        <v>38</v>
      </c>
      <c r="Q4" s="4" t="s">
        <v>38</v>
      </c>
      <c r="R4" s="2" t="s">
        <v>39</v>
      </c>
      <c r="S4" s="2" t="s">
        <v>40</v>
      </c>
      <c r="T4" s="3" t="s">
        <v>41</v>
      </c>
      <c r="U4" s="2" t="s">
        <v>42</v>
      </c>
      <c r="V4" s="2" t="s">
        <v>43</v>
      </c>
      <c r="Y4" s="2" t="str">
        <f>VLOOKUP(C4,[1]Cat_Objetos!$C$4:$C$346,1,FALSE)</f>
        <v>Planteamiento de necesidades de información</v>
      </c>
    </row>
    <row r="5" spans="1:25" x14ac:dyDescent="0.4">
      <c r="A5" s="4">
        <f>A4+1</f>
        <v>2</v>
      </c>
      <c r="B5" s="2" t="s">
        <v>44</v>
      </c>
      <c r="C5" s="3" t="s">
        <v>45</v>
      </c>
      <c r="E5" s="2" t="s">
        <v>30</v>
      </c>
      <c r="F5" s="3" t="s">
        <v>31</v>
      </c>
      <c r="G5" s="2" t="s">
        <v>32</v>
      </c>
      <c r="H5" s="3" t="s">
        <v>33</v>
      </c>
      <c r="I5" s="2" t="s">
        <v>34</v>
      </c>
      <c r="J5" s="3" t="s">
        <v>35</v>
      </c>
      <c r="K5" s="2" t="s">
        <v>46</v>
      </c>
      <c r="L5" s="3" t="s">
        <v>47</v>
      </c>
      <c r="N5" s="4" t="s">
        <v>38</v>
      </c>
      <c r="O5" s="4" t="s">
        <v>38</v>
      </c>
      <c r="Q5" s="4" t="s">
        <v>38</v>
      </c>
      <c r="R5" s="2" t="s">
        <v>48</v>
      </c>
      <c r="S5" s="2" t="s">
        <v>40</v>
      </c>
      <c r="T5" s="3" t="s">
        <v>49</v>
      </c>
      <c r="U5" s="2" t="s">
        <v>42</v>
      </c>
      <c r="V5" s="2" t="s">
        <v>43</v>
      </c>
      <c r="Y5" s="2" t="str">
        <f>VLOOKUP(C5,[1]Cat_Objetos!$C$4:$C$346,1,FALSE)</f>
        <v>Listado de normatividad aplicable</v>
      </c>
    </row>
    <row r="6" spans="1:25" ht="29.15" x14ac:dyDescent="0.4">
      <c r="A6" s="4">
        <f t="shared" ref="A6:A69" si="0">A5+1</f>
        <v>3</v>
      </c>
      <c r="B6" s="2" t="s">
        <v>50</v>
      </c>
      <c r="C6" s="3" t="s">
        <v>51</v>
      </c>
      <c r="D6" s="2" t="s">
        <v>52</v>
      </c>
      <c r="E6" s="2" t="s">
        <v>30</v>
      </c>
      <c r="F6" s="3" t="s">
        <v>31</v>
      </c>
      <c r="G6" s="2" t="s">
        <v>32</v>
      </c>
      <c r="H6" s="3" t="s">
        <v>33</v>
      </c>
      <c r="I6" s="2" t="s">
        <v>34</v>
      </c>
      <c r="J6" s="3" t="s">
        <v>35</v>
      </c>
      <c r="K6" s="2" t="s">
        <v>53</v>
      </c>
      <c r="L6" s="3" t="s">
        <v>54</v>
      </c>
      <c r="N6" s="4" t="s">
        <v>38</v>
      </c>
      <c r="O6" s="4" t="s">
        <v>38</v>
      </c>
      <c r="Q6" s="4" t="s">
        <v>38</v>
      </c>
      <c r="R6" s="2" t="s">
        <v>55</v>
      </c>
      <c r="S6" s="2" t="s">
        <v>40</v>
      </c>
      <c r="T6" s="3" t="s">
        <v>56</v>
      </c>
      <c r="U6" s="2" t="s">
        <v>42</v>
      </c>
      <c r="V6" s="2" t="s">
        <v>43</v>
      </c>
      <c r="Y6" s="2" t="str">
        <f>VLOOKUP(C6,[1]Cat_Objetos!$C$4:$C$346,1,FALSE)</f>
        <v>Población, cobertura y otras especificaciones</v>
      </c>
    </row>
    <row r="7" spans="1:25" x14ac:dyDescent="0.4">
      <c r="A7" s="4">
        <f t="shared" si="0"/>
        <v>4</v>
      </c>
      <c r="B7" s="2" t="s">
        <v>57</v>
      </c>
      <c r="C7" s="3" t="s">
        <v>58</v>
      </c>
      <c r="E7" s="2" t="s">
        <v>30</v>
      </c>
      <c r="F7" s="3" t="s">
        <v>31</v>
      </c>
      <c r="G7" s="2" t="s">
        <v>32</v>
      </c>
      <c r="H7" s="3" t="s">
        <v>33</v>
      </c>
      <c r="I7" s="2" t="s">
        <v>34</v>
      </c>
      <c r="J7" s="3" t="s">
        <v>35</v>
      </c>
      <c r="K7" s="2" t="s">
        <v>59</v>
      </c>
      <c r="L7" s="3" t="s">
        <v>60</v>
      </c>
      <c r="N7" s="4" t="s">
        <v>38</v>
      </c>
      <c r="O7" s="4" t="s">
        <v>38</v>
      </c>
      <c r="Q7" s="4" t="s">
        <v>38</v>
      </c>
      <c r="R7" s="2" t="s">
        <v>61</v>
      </c>
      <c r="S7" s="2" t="s">
        <v>40</v>
      </c>
      <c r="T7" s="3" t="s">
        <v>62</v>
      </c>
      <c r="U7" s="2" t="s">
        <v>42</v>
      </c>
      <c r="V7" s="2" t="s">
        <v>43</v>
      </c>
      <c r="Y7" s="2" t="str">
        <f>VLOOKUP(C7,[1]Cat_Objetos!$C$4:$C$346,1,FALSE)</f>
        <v>Planteamiento del objetivo y uso previsto de la información</v>
      </c>
    </row>
    <row r="8" spans="1:25" ht="29.15" x14ac:dyDescent="0.4">
      <c r="A8" s="4">
        <f t="shared" si="0"/>
        <v>5</v>
      </c>
      <c r="B8" s="2" t="s">
        <v>63</v>
      </c>
      <c r="C8" s="3" t="s">
        <v>64</v>
      </c>
      <c r="E8" s="2" t="s">
        <v>30</v>
      </c>
      <c r="F8" s="3" t="s">
        <v>31</v>
      </c>
      <c r="G8" s="2" t="s">
        <v>32</v>
      </c>
      <c r="H8" s="3" t="s">
        <v>33</v>
      </c>
      <c r="I8" s="2" t="s">
        <v>34</v>
      </c>
      <c r="J8" s="3" t="s">
        <v>35</v>
      </c>
      <c r="K8" s="2" t="s">
        <v>65</v>
      </c>
      <c r="L8" s="3" t="s">
        <v>66</v>
      </c>
      <c r="N8" s="4" t="s">
        <v>38</v>
      </c>
      <c r="O8" s="4" t="s">
        <v>38</v>
      </c>
      <c r="Q8" s="4" t="s">
        <v>38</v>
      </c>
      <c r="R8" s="2" t="s">
        <v>67</v>
      </c>
      <c r="S8" s="2" t="s">
        <v>40</v>
      </c>
      <c r="T8" s="3" t="s">
        <v>68</v>
      </c>
      <c r="U8" s="2" t="s">
        <v>42</v>
      </c>
      <c r="V8" s="2" t="s">
        <v>43</v>
      </c>
      <c r="Y8" s="2" t="str">
        <f>VLOOKUP(C8,[1]Cat_Objetos!$C$4:$C$346,1,FALSE)</f>
        <v>Documentación de temas, variables, conceptos, y desagregaciones de interés</v>
      </c>
    </row>
    <row r="9" spans="1:25" x14ac:dyDescent="0.4">
      <c r="A9" s="4">
        <f t="shared" si="0"/>
        <v>6</v>
      </c>
      <c r="B9" s="2" t="s">
        <v>69</v>
      </c>
      <c r="C9" s="7" t="s">
        <v>70</v>
      </c>
      <c r="E9" s="2" t="s">
        <v>30</v>
      </c>
      <c r="F9" s="3" t="s">
        <v>31</v>
      </c>
      <c r="G9" s="2" t="s">
        <v>32</v>
      </c>
      <c r="H9" s="3" t="s">
        <v>33</v>
      </c>
      <c r="I9" s="2" t="s">
        <v>71</v>
      </c>
      <c r="J9" s="3" t="s">
        <v>72</v>
      </c>
      <c r="K9" s="2" t="s">
        <v>73</v>
      </c>
      <c r="L9" s="3" t="s">
        <v>74</v>
      </c>
      <c r="N9" s="4" t="s">
        <v>38</v>
      </c>
      <c r="O9" s="4" t="s">
        <v>38</v>
      </c>
      <c r="Q9" s="4" t="s">
        <v>38</v>
      </c>
      <c r="R9" s="2" t="s">
        <v>75</v>
      </c>
      <c r="S9" s="2" t="s">
        <v>40</v>
      </c>
      <c r="T9" s="3" t="s">
        <v>76</v>
      </c>
      <c r="U9" s="2" t="s">
        <v>42</v>
      </c>
      <c r="V9" s="2" t="s">
        <v>43</v>
      </c>
      <c r="Y9" s="2" t="e">
        <f>VLOOKUP(C9,[1]Cat_Objetos!$C$4:$C$346,1,FALSE)</f>
        <v>#N/A</v>
      </c>
    </row>
    <row r="10" spans="1:25" ht="29.15" x14ac:dyDescent="0.4">
      <c r="A10" s="4">
        <f t="shared" si="0"/>
        <v>7</v>
      </c>
      <c r="B10" s="2" t="s">
        <v>77</v>
      </c>
      <c r="C10" s="3" t="s">
        <v>78</v>
      </c>
      <c r="D10" s="2" t="s">
        <v>79</v>
      </c>
      <c r="E10" s="2" t="s">
        <v>30</v>
      </c>
      <c r="F10" s="3" t="s">
        <v>31</v>
      </c>
      <c r="G10" s="2" t="s">
        <v>32</v>
      </c>
      <c r="H10" s="3" t="s">
        <v>33</v>
      </c>
      <c r="I10" s="2" t="s">
        <v>80</v>
      </c>
      <c r="J10" s="3" t="s">
        <v>81</v>
      </c>
      <c r="K10" s="2" t="s">
        <v>82</v>
      </c>
      <c r="L10" s="3" t="s">
        <v>83</v>
      </c>
      <c r="N10" s="4" t="s">
        <v>38</v>
      </c>
      <c r="O10" s="4" t="s">
        <v>38</v>
      </c>
      <c r="Q10" s="4" t="s">
        <v>38</v>
      </c>
      <c r="R10" s="2" t="s">
        <v>84</v>
      </c>
      <c r="S10" s="2" t="s">
        <v>40</v>
      </c>
      <c r="T10" s="3" t="s">
        <v>68</v>
      </c>
      <c r="U10" s="2" t="s">
        <v>42</v>
      </c>
      <c r="V10" s="2" t="s">
        <v>43</v>
      </c>
      <c r="Y10" s="2" t="str">
        <f>VLOOKUP(C10,[1]Cat_Objetos!$C$4:$C$346,1,FALSE)</f>
        <v>Documento de detección de necesidades estructuradas de información</v>
      </c>
    </row>
    <row r="11" spans="1:25" x14ac:dyDescent="0.4">
      <c r="A11" s="4">
        <f t="shared" si="0"/>
        <v>8</v>
      </c>
      <c r="B11" s="2" t="s">
        <v>85</v>
      </c>
      <c r="C11" s="3" t="s">
        <v>86</v>
      </c>
      <c r="D11" s="2" t="s">
        <v>87</v>
      </c>
      <c r="E11" s="2" t="s">
        <v>30</v>
      </c>
      <c r="F11" s="3" t="s">
        <v>31</v>
      </c>
      <c r="G11" s="2" t="s">
        <v>88</v>
      </c>
      <c r="H11" s="3" t="s">
        <v>89</v>
      </c>
      <c r="I11" s="2" t="s">
        <v>90</v>
      </c>
      <c r="J11" s="3" t="s">
        <v>91</v>
      </c>
      <c r="K11" s="2" t="s">
        <v>92</v>
      </c>
      <c r="L11" s="3" t="s">
        <v>93</v>
      </c>
      <c r="N11" s="4" t="s">
        <v>38</v>
      </c>
      <c r="O11" s="4" t="s">
        <v>38</v>
      </c>
      <c r="Q11" s="4" t="s">
        <v>38</v>
      </c>
      <c r="R11" s="2" t="s">
        <v>94</v>
      </c>
      <c r="S11" s="2" t="s">
        <v>40</v>
      </c>
      <c r="T11" s="3" t="s">
        <v>95</v>
      </c>
      <c r="U11" s="2" t="s">
        <v>42</v>
      </c>
      <c r="V11" s="2" t="s">
        <v>43</v>
      </c>
      <c r="Y11" s="2" t="str">
        <f>VLOOKUP(C11,[1]Cat_Objetos!$C$4:$C$346,1,FALSE)</f>
        <v>Calendario con la programación del proceso</v>
      </c>
    </row>
    <row r="12" spans="1:25" x14ac:dyDescent="0.4">
      <c r="A12" s="4">
        <f t="shared" si="0"/>
        <v>9</v>
      </c>
      <c r="B12" s="2" t="s">
        <v>96</v>
      </c>
      <c r="C12" s="3" t="s">
        <v>97</v>
      </c>
      <c r="E12" s="2" t="s">
        <v>30</v>
      </c>
      <c r="F12" s="3" t="s">
        <v>31</v>
      </c>
      <c r="G12" s="2" t="s">
        <v>88</v>
      </c>
      <c r="H12" s="3" t="s">
        <v>89</v>
      </c>
      <c r="I12" s="2" t="s">
        <v>90</v>
      </c>
      <c r="J12" s="3" t="s">
        <v>91</v>
      </c>
      <c r="K12" s="2" t="s">
        <v>98</v>
      </c>
      <c r="L12" s="3" t="s">
        <v>99</v>
      </c>
      <c r="N12" s="4" t="s">
        <v>38</v>
      </c>
      <c r="O12" s="4" t="s">
        <v>38</v>
      </c>
      <c r="Q12" s="4" t="s">
        <v>38</v>
      </c>
      <c r="R12" s="2" t="s">
        <v>100</v>
      </c>
      <c r="S12" s="2" t="s">
        <v>40</v>
      </c>
      <c r="T12" s="3" t="s">
        <v>95</v>
      </c>
      <c r="U12" s="2" t="s">
        <v>42</v>
      </c>
      <c r="V12" s="2" t="s">
        <v>43</v>
      </c>
      <c r="Y12" s="2" t="str">
        <f>VLOOKUP(C12,[1]Cat_Objetos!$C$4:$C$346,1,FALSE)</f>
        <v>Presupuesto y costos</v>
      </c>
    </row>
    <row r="13" spans="1:25" x14ac:dyDescent="0.4">
      <c r="A13" s="4">
        <f t="shared" si="0"/>
        <v>10</v>
      </c>
      <c r="B13" s="2" t="s">
        <v>101</v>
      </c>
      <c r="C13" s="3" t="s">
        <v>102</v>
      </c>
      <c r="D13" s="2" t="s">
        <v>103</v>
      </c>
      <c r="E13" s="2" t="s">
        <v>30</v>
      </c>
      <c r="F13" s="3" t="s">
        <v>31</v>
      </c>
      <c r="G13" s="2" t="s">
        <v>88</v>
      </c>
      <c r="H13" s="3" t="s">
        <v>89</v>
      </c>
      <c r="I13" s="2" t="s">
        <v>90</v>
      </c>
      <c r="J13" s="3" t="s">
        <v>91</v>
      </c>
      <c r="K13" s="2" t="s">
        <v>104</v>
      </c>
      <c r="L13" s="3" t="s">
        <v>105</v>
      </c>
      <c r="N13" s="4" t="s">
        <v>38</v>
      </c>
      <c r="O13" s="4" t="s">
        <v>38</v>
      </c>
      <c r="Q13" s="4" t="s">
        <v>38</v>
      </c>
      <c r="R13" s="2" t="s">
        <v>106</v>
      </c>
      <c r="S13" s="2" t="s">
        <v>40</v>
      </c>
      <c r="T13" s="3" t="s">
        <v>95</v>
      </c>
      <c r="U13" s="2" t="s">
        <v>42</v>
      </c>
      <c r="V13" s="2" t="s">
        <v>43</v>
      </c>
      <c r="Y13" s="2" t="str">
        <f>VLOOKUP(C13,[1]Cat_Objetos!$C$4:$C$346,1,FALSE)</f>
        <v>Especificación de necesidades de recursos humanos</v>
      </c>
    </row>
    <row r="14" spans="1:25" x14ac:dyDescent="0.4">
      <c r="A14" s="4">
        <f t="shared" si="0"/>
        <v>11</v>
      </c>
      <c r="B14" s="2" t="s">
        <v>107</v>
      </c>
      <c r="C14" s="3" t="s">
        <v>108</v>
      </c>
      <c r="E14" s="2" t="s">
        <v>30</v>
      </c>
      <c r="F14" s="3" t="s">
        <v>31</v>
      </c>
      <c r="G14" s="2" t="s">
        <v>88</v>
      </c>
      <c r="H14" s="3" t="s">
        <v>89</v>
      </c>
      <c r="I14" s="2" t="s">
        <v>90</v>
      </c>
      <c r="J14" s="3" t="s">
        <v>91</v>
      </c>
      <c r="K14" s="2" t="s">
        <v>109</v>
      </c>
      <c r="L14" s="3" t="s">
        <v>110</v>
      </c>
      <c r="N14" s="4" t="s">
        <v>38</v>
      </c>
      <c r="O14" s="4" t="s">
        <v>38</v>
      </c>
      <c r="Q14" s="4" t="s">
        <v>38</v>
      </c>
      <c r="R14" s="2" t="s">
        <v>106</v>
      </c>
      <c r="S14" s="2" t="s">
        <v>40</v>
      </c>
      <c r="T14" s="3" t="s">
        <v>95</v>
      </c>
      <c r="U14" s="2" t="s">
        <v>42</v>
      </c>
      <c r="V14" s="2" t="s">
        <v>43</v>
      </c>
      <c r="Y14" s="2" t="str">
        <f>VLOOKUP(C14,[1]Cat_Objetos!$C$4:$C$346,1,FALSE)</f>
        <v>Especificación de necesidades de recursos materiales</v>
      </c>
    </row>
    <row r="15" spans="1:25" x14ac:dyDescent="0.4">
      <c r="A15" s="4">
        <f t="shared" si="0"/>
        <v>12</v>
      </c>
      <c r="B15" s="2" t="s">
        <v>111</v>
      </c>
      <c r="C15" s="3" t="s">
        <v>112</v>
      </c>
      <c r="D15" s="2" t="s">
        <v>113</v>
      </c>
      <c r="E15" s="2" t="s">
        <v>30</v>
      </c>
      <c r="F15" s="3" t="s">
        <v>31</v>
      </c>
      <c r="G15" s="2" t="s">
        <v>88</v>
      </c>
      <c r="H15" s="3" t="s">
        <v>89</v>
      </c>
      <c r="I15" s="2" t="s">
        <v>114</v>
      </c>
      <c r="J15" s="3" t="s">
        <v>89</v>
      </c>
      <c r="K15" s="2" t="s">
        <v>115</v>
      </c>
      <c r="L15" s="3" t="s">
        <v>116</v>
      </c>
      <c r="N15" s="4" t="s">
        <v>38</v>
      </c>
      <c r="O15" s="4" t="s">
        <v>38</v>
      </c>
      <c r="Q15" s="4" t="s">
        <v>38</v>
      </c>
      <c r="R15" s="2" t="s">
        <v>117</v>
      </c>
      <c r="S15" s="2" t="s">
        <v>40</v>
      </c>
      <c r="T15" s="3" t="s">
        <v>62</v>
      </c>
      <c r="U15" s="2" t="s">
        <v>42</v>
      </c>
      <c r="V15" s="2" t="s">
        <v>43</v>
      </c>
      <c r="Y15" s="2" t="str">
        <f>VLOOKUP(C15,[1]Cat_Objetos!$C$4:$C$346,1,FALSE)</f>
        <v>Plan de viabilidad técnica y económica</v>
      </c>
    </row>
    <row r="16" spans="1:25" ht="29.15" x14ac:dyDescent="0.4">
      <c r="A16" s="4">
        <f t="shared" si="0"/>
        <v>13</v>
      </c>
      <c r="B16" s="2" t="s">
        <v>118</v>
      </c>
      <c r="C16" s="3" t="s">
        <v>119</v>
      </c>
      <c r="E16" s="2" t="s">
        <v>30</v>
      </c>
      <c r="F16" s="3" t="s">
        <v>31</v>
      </c>
      <c r="G16" s="2" t="s">
        <v>120</v>
      </c>
      <c r="H16" s="3" t="s">
        <v>121</v>
      </c>
      <c r="I16" s="2" t="s">
        <v>122</v>
      </c>
      <c r="J16" s="3" t="s">
        <v>123</v>
      </c>
      <c r="K16" s="2" t="s">
        <v>124</v>
      </c>
      <c r="L16" s="3" t="s">
        <v>125</v>
      </c>
      <c r="N16" s="4" t="s">
        <v>38</v>
      </c>
      <c r="O16" s="4" t="s">
        <v>38</v>
      </c>
      <c r="Q16" s="4" t="s">
        <v>38</v>
      </c>
      <c r="R16" s="2" t="s">
        <v>126</v>
      </c>
      <c r="S16" s="2" t="s">
        <v>40</v>
      </c>
      <c r="T16" s="3" t="s">
        <v>68</v>
      </c>
      <c r="U16" s="2" t="s">
        <v>42</v>
      </c>
      <c r="V16" s="2" t="s">
        <v>43</v>
      </c>
      <c r="Y16" s="2" t="str">
        <f>VLOOKUP(C16,[1]Cat_Objetos!$C$4:$C$346,1,FALSE)</f>
        <v>Presentación de propuesta de nuevas necesidades de información para los CTE, CE o CCN</v>
      </c>
    </row>
    <row r="17" spans="1:25" ht="29.15" x14ac:dyDescent="0.4">
      <c r="A17" s="4">
        <f t="shared" si="0"/>
        <v>14</v>
      </c>
      <c r="B17" s="2" t="s">
        <v>127</v>
      </c>
      <c r="C17" s="3" t="s">
        <v>128</v>
      </c>
      <c r="E17" s="2" t="s">
        <v>30</v>
      </c>
      <c r="F17" s="3" t="s">
        <v>31</v>
      </c>
      <c r="G17" s="2" t="s">
        <v>120</v>
      </c>
      <c r="H17" s="3" t="s">
        <v>121</v>
      </c>
      <c r="I17" s="2" t="s">
        <v>122</v>
      </c>
      <c r="J17" s="3" t="s">
        <v>123</v>
      </c>
      <c r="K17" s="2" t="s">
        <v>129</v>
      </c>
      <c r="L17" s="3" t="s">
        <v>130</v>
      </c>
      <c r="N17" s="4" t="s">
        <v>38</v>
      </c>
      <c r="O17" s="4" t="s">
        <v>38</v>
      </c>
      <c r="Q17" s="4" t="s">
        <v>38</v>
      </c>
      <c r="R17" s="2" t="s">
        <v>126</v>
      </c>
      <c r="S17" s="2" t="s">
        <v>40</v>
      </c>
      <c r="T17" s="3" t="s">
        <v>95</v>
      </c>
      <c r="U17" s="2" t="s">
        <v>42</v>
      </c>
      <c r="V17" s="2" t="s">
        <v>43</v>
      </c>
      <c r="Y17" s="2" t="str">
        <f>VLOOKUP(C17,[1]Cat_Objetos!$C$4:$C$346,1,FALSE)</f>
        <v>Listados de los CTE, CE o CCN</v>
      </c>
    </row>
    <row r="18" spans="1:25" ht="29.15" x14ac:dyDescent="0.4">
      <c r="A18" s="4">
        <f t="shared" si="0"/>
        <v>15</v>
      </c>
      <c r="B18" s="2" t="s">
        <v>131</v>
      </c>
      <c r="C18" s="3" t="s">
        <v>132</v>
      </c>
      <c r="E18" s="2" t="s">
        <v>30</v>
      </c>
      <c r="F18" s="3" t="s">
        <v>31</v>
      </c>
      <c r="G18" s="2" t="s">
        <v>120</v>
      </c>
      <c r="H18" s="3" t="s">
        <v>121</v>
      </c>
      <c r="I18" s="2" t="s">
        <v>122</v>
      </c>
      <c r="J18" s="3" t="s">
        <v>123</v>
      </c>
      <c r="K18" s="2" t="s">
        <v>133</v>
      </c>
      <c r="L18" s="3" t="s">
        <v>134</v>
      </c>
      <c r="N18" s="4" t="s">
        <v>38</v>
      </c>
      <c r="O18" s="4" t="s">
        <v>38</v>
      </c>
      <c r="Q18" s="4" t="s">
        <v>38</v>
      </c>
      <c r="R18" s="2" t="s">
        <v>126</v>
      </c>
      <c r="S18" s="2" t="s">
        <v>40</v>
      </c>
      <c r="T18" s="3" t="s">
        <v>95</v>
      </c>
      <c r="U18" s="2" t="s">
        <v>42</v>
      </c>
      <c r="V18" s="2" t="s">
        <v>43</v>
      </c>
      <c r="Y18" s="2" t="str">
        <f>VLOOKUP(C18,[1]Cat_Objetos!$C$4:$C$346,1,FALSE)</f>
        <v>Copia de actas o minutas de las sesiones de los CTE, CE o CCN sobre nuevas necesidades</v>
      </c>
    </row>
    <row r="19" spans="1:25" ht="29.15" x14ac:dyDescent="0.4">
      <c r="A19" s="4">
        <f t="shared" si="0"/>
        <v>16</v>
      </c>
      <c r="B19" s="2" t="s">
        <v>135</v>
      </c>
      <c r="C19" s="3" t="s">
        <v>136</v>
      </c>
      <c r="E19" s="2" t="s">
        <v>30</v>
      </c>
      <c r="F19" s="3" t="s">
        <v>31</v>
      </c>
      <c r="G19" s="2" t="s">
        <v>137</v>
      </c>
      <c r="H19" s="3" t="s">
        <v>138</v>
      </c>
      <c r="I19" s="2" t="s">
        <v>139</v>
      </c>
      <c r="J19" s="3" t="s">
        <v>140</v>
      </c>
      <c r="K19" s="2" t="s">
        <v>141</v>
      </c>
      <c r="L19" s="3" t="s">
        <v>142</v>
      </c>
      <c r="N19" s="4" t="s">
        <v>38</v>
      </c>
      <c r="O19" s="4" t="s">
        <v>38</v>
      </c>
      <c r="Q19" s="4" t="s">
        <v>38</v>
      </c>
      <c r="R19" s="2" t="s">
        <v>84</v>
      </c>
      <c r="S19" s="2" t="s">
        <v>40</v>
      </c>
      <c r="T19" s="3" t="s">
        <v>143</v>
      </c>
      <c r="U19" s="2" t="s">
        <v>42</v>
      </c>
      <c r="V19" s="2" t="s">
        <v>43</v>
      </c>
      <c r="Y19" s="2" t="str">
        <f>VLOOKUP(C19,[1]Cat_Objetos!$C$4:$C$346,1,FALSE)</f>
        <v>Matriz de relación de conceptos entre necesidades y requirentes</v>
      </c>
    </row>
    <row r="20" spans="1:25" x14ac:dyDescent="0.4">
      <c r="A20" s="4">
        <f t="shared" si="0"/>
        <v>17</v>
      </c>
      <c r="B20" s="2" t="s">
        <v>144</v>
      </c>
      <c r="C20" s="3" t="s">
        <v>145</v>
      </c>
      <c r="E20" s="2" t="s">
        <v>30</v>
      </c>
      <c r="F20" s="3" t="s">
        <v>31</v>
      </c>
      <c r="G20" s="2" t="s">
        <v>146</v>
      </c>
      <c r="H20" s="3" t="s">
        <v>147</v>
      </c>
      <c r="I20" s="2" t="s">
        <v>148</v>
      </c>
      <c r="J20" s="3" t="s">
        <v>149</v>
      </c>
      <c r="K20" s="2" t="s">
        <v>150</v>
      </c>
      <c r="L20" s="3" t="s">
        <v>151</v>
      </c>
      <c r="N20" s="4" t="s">
        <v>38</v>
      </c>
      <c r="O20" s="4" t="s">
        <v>38</v>
      </c>
      <c r="Q20" s="4" t="s">
        <v>38</v>
      </c>
      <c r="R20" s="2" t="s">
        <v>152</v>
      </c>
      <c r="S20" s="2" t="s">
        <v>40</v>
      </c>
      <c r="T20" s="3" t="s">
        <v>76</v>
      </c>
      <c r="U20" s="2" t="s">
        <v>42</v>
      </c>
      <c r="V20" s="2" t="s">
        <v>43</v>
      </c>
      <c r="Y20" s="2" t="str">
        <f>VLOOKUP(C20,[1]Cat_Objetos!$C$4:$C$346,1,FALSE)</f>
        <v>Lista de conceptos y desagregaciones de interés</v>
      </c>
    </row>
    <row r="21" spans="1:25" ht="29.15" x14ac:dyDescent="0.4">
      <c r="A21" s="4">
        <f t="shared" si="0"/>
        <v>18</v>
      </c>
      <c r="B21" s="2" t="s">
        <v>153</v>
      </c>
      <c r="C21" s="3" t="s">
        <v>154</v>
      </c>
      <c r="E21" s="2" t="s">
        <v>30</v>
      </c>
      <c r="F21" s="3" t="s">
        <v>31</v>
      </c>
      <c r="G21" s="2" t="s">
        <v>146</v>
      </c>
      <c r="H21" s="3" t="s">
        <v>147</v>
      </c>
      <c r="I21" s="2" t="s">
        <v>148</v>
      </c>
      <c r="J21" s="3" t="s">
        <v>149</v>
      </c>
      <c r="K21" s="2" t="s">
        <v>155</v>
      </c>
      <c r="L21" s="3" t="s">
        <v>156</v>
      </c>
      <c r="N21" s="4" t="s">
        <v>38</v>
      </c>
      <c r="O21" s="4" t="s">
        <v>38</v>
      </c>
      <c r="Q21" s="4" t="s">
        <v>38</v>
      </c>
      <c r="R21" s="2" t="s">
        <v>152</v>
      </c>
      <c r="S21" s="2" t="s">
        <v>40</v>
      </c>
      <c r="T21" s="3" t="s">
        <v>76</v>
      </c>
      <c r="U21" s="2" t="s">
        <v>42</v>
      </c>
      <c r="V21" s="2" t="s">
        <v>43</v>
      </c>
      <c r="Y21" s="2" t="str">
        <f>VLOOKUP(C21,[1]Cat_Objetos!$C$4:$C$346,1,FALSE)</f>
        <v>Matriz de relación entre necesidades de información con objetivos o estrategias del PND y otros</v>
      </c>
    </row>
    <row r="22" spans="1:25" ht="29.15" x14ac:dyDescent="0.4">
      <c r="A22" s="4">
        <f t="shared" si="0"/>
        <v>19</v>
      </c>
      <c r="B22" s="2" t="s">
        <v>157</v>
      </c>
      <c r="C22" s="3" t="s">
        <v>158</v>
      </c>
      <c r="E22" s="2" t="s">
        <v>30</v>
      </c>
      <c r="F22" s="3" t="s">
        <v>31</v>
      </c>
      <c r="G22" s="2" t="s">
        <v>159</v>
      </c>
      <c r="H22" s="3" t="s">
        <v>160</v>
      </c>
      <c r="I22" s="2" t="s">
        <v>161</v>
      </c>
      <c r="J22" s="3" t="s">
        <v>162</v>
      </c>
      <c r="K22" s="2" t="s">
        <v>163</v>
      </c>
      <c r="L22" s="3" t="s">
        <v>164</v>
      </c>
      <c r="N22" s="4" t="s">
        <v>38</v>
      </c>
      <c r="O22" s="4" t="s">
        <v>38</v>
      </c>
      <c r="Q22" s="4" t="s">
        <v>38</v>
      </c>
      <c r="R22" s="2" t="s">
        <v>165</v>
      </c>
      <c r="S22" s="2" t="s">
        <v>40</v>
      </c>
      <c r="T22" s="3" t="s">
        <v>166</v>
      </c>
      <c r="U22" s="2" t="s">
        <v>42</v>
      </c>
      <c r="V22" s="2" t="s">
        <v>43</v>
      </c>
      <c r="Y22" s="2" t="str">
        <f>VLOOKUP(C22,[1]Cat_Objetos!$C$4:$C$346,1,FALSE)</f>
        <v>Listado de datos insumo</v>
      </c>
    </row>
    <row r="23" spans="1:25" ht="29.15" x14ac:dyDescent="0.4">
      <c r="A23" s="4">
        <f t="shared" si="0"/>
        <v>20</v>
      </c>
      <c r="B23" s="2" t="s">
        <v>167</v>
      </c>
      <c r="C23" s="3" t="s">
        <v>168</v>
      </c>
      <c r="E23" s="2" t="s">
        <v>30</v>
      </c>
      <c r="F23" s="3" t="s">
        <v>31</v>
      </c>
      <c r="G23" s="2" t="s">
        <v>159</v>
      </c>
      <c r="H23" s="3" t="s">
        <v>160</v>
      </c>
      <c r="I23" s="2" t="s">
        <v>161</v>
      </c>
      <c r="J23" s="3" t="s">
        <v>162</v>
      </c>
      <c r="K23" s="2" t="s">
        <v>169</v>
      </c>
      <c r="L23" s="3" t="s">
        <v>170</v>
      </c>
      <c r="N23" s="4" t="s">
        <v>38</v>
      </c>
      <c r="O23" s="4" t="s">
        <v>38</v>
      </c>
      <c r="Q23" s="4" t="s">
        <v>38</v>
      </c>
      <c r="R23" s="2" t="s">
        <v>165</v>
      </c>
      <c r="S23" s="2" t="s">
        <v>40</v>
      </c>
      <c r="T23" s="3" t="s">
        <v>166</v>
      </c>
      <c r="U23" s="2" t="s">
        <v>42</v>
      </c>
      <c r="V23" s="2" t="s">
        <v>43</v>
      </c>
      <c r="Y23" s="2" t="str">
        <f>VLOOKUP(C23,[1]Cat_Objetos!$C$4:$C$346,1,FALSE)</f>
        <v>Listado de datos insumo y soporte jurídico para su acceso</v>
      </c>
    </row>
    <row r="24" spans="1:25" ht="29.15" x14ac:dyDescent="0.4">
      <c r="A24" s="4">
        <f t="shared" si="0"/>
        <v>21</v>
      </c>
      <c r="B24" s="2" t="s">
        <v>171</v>
      </c>
      <c r="C24" s="7" t="s">
        <v>172</v>
      </c>
      <c r="E24" s="2" t="s">
        <v>30</v>
      </c>
      <c r="F24" s="3" t="s">
        <v>31</v>
      </c>
      <c r="G24" s="2" t="s">
        <v>173</v>
      </c>
      <c r="H24" s="3" t="s">
        <v>174</v>
      </c>
      <c r="I24" s="2" t="s">
        <v>175</v>
      </c>
      <c r="J24" s="3" t="s">
        <v>176</v>
      </c>
      <c r="K24" s="2" t="s">
        <v>177</v>
      </c>
      <c r="L24" s="3" t="s">
        <v>178</v>
      </c>
      <c r="N24" s="4" t="s">
        <v>38</v>
      </c>
      <c r="O24" s="4" t="s">
        <v>38</v>
      </c>
      <c r="Q24" s="4" t="s">
        <v>38</v>
      </c>
      <c r="R24" s="2" t="s">
        <v>179</v>
      </c>
      <c r="S24" s="2" t="s">
        <v>40</v>
      </c>
      <c r="T24" s="3" t="s">
        <v>76</v>
      </c>
      <c r="U24" s="2" t="s">
        <v>42</v>
      </c>
      <c r="V24" s="2" t="s">
        <v>43</v>
      </c>
      <c r="Y24" s="2" t="e">
        <f>VLOOKUP(C24,[1]Cat_Objetos!$C$4:$C$346,1,FALSE)</f>
        <v>#N/A</v>
      </c>
    </row>
    <row r="25" spans="1:25" ht="29.15" x14ac:dyDescent="0.4">
      <c r="A25" s="4">
        <f t="shared" si="0"/>
        <v>22</v>
      </c>
      <c r="B25" s="2" t="s">
        <v>180</v>
      </c>
      <c r="C25" s="3" t="s">
        <v>181</v>
      </c>
      <c r="E25" s="2" t="s">
        <v>30</v>
      </c>
      <c r="F25" s="3" t="s">
        <v>31</v>
      </c>
      <c r="G25" s="2" t="s">
        <v>173</v>
      </c>
      <c r="H25" s="3" t="s">
        <v>174</v>
      </c>
      <c r="I25" s="2" t="s">
        <v>175</v>
      </c>
      <c r="J25" s="3" t="s">
        <v>176</v>
      </c>
      <c r="K25" s="2" t="s">
        <v>182</v>
      </c>
      <c r="L25" s="3" t="s">
        <v>183</v>
      </c>
      <c r="N25" s="4" t="s">
        <v>38</v>
      </c>
      <c r="O25" s="4" t="s">
        <v>38</v>
      </c>
      <c r="Q25" s="4" t="s">
        <v>38</v>
      </c>
      <c r="R25" s="2" t="s">
        <v>179</v>
      </c>
      <c r="S25" s="2" t="s">
        <v>40</v>
      </c>
      <c r="T25" s="3" t="s">
        <v>76</v>
      </c>
      <c r="U25" s="2" t="s">
        <v>42</v>
      </c>
      <c r="V25" s="2" t="s">
        <v>43</v>
      </c>
      <c r="Y25" s="2" t="str">
        <f>VLOOKUP(C25,[1]Cat_Objetos!$C$4:$C$346,1,FALSE)</f>
        <v>Justificación del proceso de producción</v>
      </c>
    </row>
    <row r="26" spans="1:25" x14ac:dyDescent="0.4">
      <c r="A26" s="4">
        <f t="shared" si="0"/>
        <v>23</v>
      </c>
      <c r="B26" s="2" t="s">
        <v>184</v>
      </c>
      <c r="C26" s="3" t="s">
        <v>185</v>
      </c>
      <c r="E26" s="2" t="s">
        <v>186</v>
      </c>
      <c r="F26" s="2" t="s">
        <v>187</v>
      </c>
      <c r="G26" s="2" t="s">
        <v>188</v>
      </c>
      <c r="H26" s="3" t="s">
        <v>189</v>
      </c>
      <c r="I26" s="2" t="s">
        <v>190</v>
      </c>
      <c r="J26" s="3" t="s">
        <v>191</v>
      </c>
      <c r="K26" s="2" t="s">
        <v>192</v>
      </c>
      <c r="L26" s="3" t="s">
        <v>193</v>
      </c>
      <c r="N26" s="4" t="s">
        <v>38</v>
      </c>
      <c r="O26" s="4" t="s">
        <v>38</v>
      </c>
      <c r="Q26" s="4" t="s">
        <v>38</v>
      </c>
      <c r="R26" s="2" t="s">
        <v>194</v>
      </c>
      <c r="S26" s="2" t="s">
        <v>40</v>
      </c>
      <c r="T26" s="3" t="s">
        <v>76</v>
      </c>
      <c r="U26" s="2" t="s">
        <v>42</v>
      </c>
      <c r="V26" s="2" t="s">
        <v>43</v>
      </c>
      <c r="Y26" s="2" t="str">
        <f>VLOOKUP(C26,[1]Cat_Objetos!$C$4:$C$346,1,FALSE)</f>
        <v>Informe de la normatividad relacionada</v>
      </c>
    </row>
    <row r="27" spans="1:25" x14ac:dyDescent="0.4">
      <c r="A27" s="4">
        <f t="shared" si="0"/>
        <v>24</v>
      </c>
      <c r="B27" s="2" t="s">
        <v>195</v>
      </c>
      <c r="C27" s="3" t="s">
        <v>196</v>
      </c>
      <c r="E27" s="2" t="s">
        <v>186</v>
      </c>
      <c r="F27" s="2" t="s">
        <v>187</v>
      </c>
      <c r="G27" s="2" t="s">
        <v>188</v>
      </c>
      <c r="H27" s="3" t="s">
        <v>189</v>
      </c>
      <c r="I27" s="2" t="s">
        <v>190</v>
      </c>
      <c r="J27" s="3" t="s">
        <v>191</v>
      </c>
      <c r="K27" s="2" t="s">
        <v>197</v>
      </c>
      <c r="L27" s="3" t="s">
        <v>198</v>
      </c>
      <c r="N27" s="4" t="s">
        <v>38</v>
      </c>
      <c r="O27" s="4" t="s">
        <v>38</v>
      </c>
      <c r="Q27" s="4" t="s">
        <v>38</v>
      </c>
      <c r="R27" s="2" t="s">
        <v>199</v>
      </c>
      <c r="S27" s="2" t="s">
        <v>40</v>
      </c>
      <c r="T27" s="3" t="s">
        <v>76</v>
      </c>
      <c r="U27" s="2" t="s">
        <v>42</v>
      </c>
      <c r="V27" s="2" t="s">
        <v>43</v>
      </c>
      <c r="Y27" s="2" t="str">
        <f>VLOOKUP(C27,[1]Cat_Objetos!$C$4:$C$346,1,FALSE)</f>
        <v>Coincidencias con los planes y programas gubernamentales</v>
      </c>
    </row>
    <row r="28" spans="1:25" ht="29.15" x14ac:dyDescent="0.4">
      <c r="A28" s="4">
        <f t="shared" si="0"/>
        <v>25</v>
      </c>
      <c r="B28" s="2" t="s">
        <v>200</v>
      </c>
      <c r="C28" s="3" t="s">
        <v>201</v>
      </c>
      <c r="D28" s="2" t="s">
        <v>202</v>
      </c>
      <c r="E28" s="2" t="s">
        <v>186</v>
      </c>
      <c r="F28" s="2" t="s">
        <v>187</v>
      </c>
      <c r="G28" s="2" t="s">
        <v>188</v>
      </c>
      <c r="H28" s="3" t="s">
        <v>189</v>
      </c>
      <c r="I28" s="2" t="s">
        <v>190</v>
      </c>
      <c r="J28" s="3" t="s">
        <v>191</v>
      </c>
      <c r="K28" s="2" t="s">
        <v>203</v>
      </c>
      <c r="L28" s="3" t="s">
        <v>204</v>
      </c>
      <c r="N28" s="4" t="s">
        <v>38</v>
      </c>
      <c r="O28" s="4" t="s">
        <v>38</v>
      </c>
      <c r="Q28" s="4" t="s">
        <v>38</v>
      </c>
      <c r="R28" s="2" t="s">
        <v>205</v>
      </c>
      <c r="S28" s="2" t="s">
        <v>40</v>
      </c>
      <c r="T28" s="3" t="s">
        <v>76</v>
      </c>
      <c r="U28" s="2" t="s">
        <v>42</v>
      </c>
      <c r="V28" s="2" t="s">
        <v>43</v>
      </c>
      <c r="Y28" s="2" t="str">
        <f>VLOOKUP(C28,[1]Cat_Objetos!$C$4:$C$346,1,FALSE)</f>
        <v>Contribuciones metodológicas aplicables</v>
      </c>
    </row>
    <row r="29" spans="1:25" x14ac:dyDescent="0.4">
      <c r="A29" s="4">
        <f t="shared" si="0"/>
        <v>26</v>
      </c>
      <c r="B29" s="2" t="s">
        <v>206</v>
      </c>
      <c r="C29" s="3" t="s">
        <v>207</v>
      </c>
      <c r="E29" s="2" t="s">
        <v>186</v>
      </c>
      <c r="F29" s="2" t="s">
        <v>187</v>
      </c>
      <c r="G29" s="2" t="s">
        <v>188</v>
      </c>
      <c r="H29" s="3" t="s">
        <v>189</v>
      </c>
      <c r="I29" s="2" t="s">
        <v>190</v>
      </c>
      <c r="J29" s="3" t="s">
        <v>191</v>
      </c>
      <c r="K29" s="2" t="s">
        <v>208</v>
      </c>
      <c r="L29" s="3" t="s">
        <v>209</v>
      </c>
      <c r="N29" s="4" t="s">
        <v>38</v>
      </c>
      <c r="O29" s="4" t="s">
        <v>38</v>
      </c>
      <c r="Q29" s="4" t="s">
        <v>38</v>
      </c>
      <c r="R29" s="2" t="s">
        <v>67</v>
      </c>
      <c r="S29" s="2" t="s">
        <v>40</v>
      </c>
      <c r="T29" s="3" t="s">
        <v>68</v>
      </c>
      <c r="U29" s="2" t="s">
        <v>42</v>
      </c>
      <c r="V29" s="2" t="s">
        <v>43</v>
      </c>
      <c r="Y29" s="2" t="str">
        <f>VLOOKUP(C29,[1]Cat_Objetos!$C$4:$C$346,1,FALSE)</f>
        <v>Propuesta de cambios preliminar</v>
      </c>
    </row>
    <row r="30" spans="1:25" x14ac:dyDescent="0.4">
      <c r="A30" s="4">
        <f t="shared" si="0"/>
        <v>27</v>
      </c>
      <c r="B30" s="2" t="s">
        <v>210</v>
      </c>
      <c r="C30" s="3" t="s">
        <v>211</v>
      </c>
      <c r="E30" s="2" t="s">
        <v>186</v>
      </c>
      <c r="F30" s="2" t="s">
        <v>187</v>
      </c>
      <c r="G30" s="2" t="s">
        <v>188</v>
      </c>
      <c r="H30" s="3" t="s">
        <v>189</v>
      </c>
      <c r="I30" s="2" t="s">
        <v>190</v>
      </c>
      <c r="J30" s="3" t="s">
        <v>191</v>
      </c>
      <c r="K30" s="2" t="s">
        <v>212</v>
      </c>
      <c r="L30" s="3" t="s">
        <v>213</v>
      </c>
      <c r="N30" s="4" t="s">
        <v>38</v>
      </c>
      <c r="O30" s="4" t="s">
        <v>38</v>
      </c>
      <c r="Q30" s="4" t="s">
        <v>38</v>
      </c>
      <c r="R30" s="2" t="s">
        <v>67</v>
      </c>
      <c r="S30" s="2" t="s">
        <v>40</v>
      </c>
      <c r="T30" s="3" t="s">
        <v>68</v>
      </c>
      <c r="U30" s="2" t="s">
        <v>42</v>
      </c>
      <c r="V30" s="2" t="s">
        <v>43</v>
      </c>
      <c r="Y30" s="2" t="str">
        <f>VLOOKUP(C30,[1]Cat_Objetos!$C$4:$C$346,1,FALSE)</f>
        <v>Resultados de la prueba cognitiva y estadística</v>
      </c>
    </row>
    <row r="31" spans="1:25" x14ac:dyDescent="0.4">
      <c r="A31" s="4">
        <f t="shared" si="0"/>
        <v>28</v>
      </c>
      <c r="B31" s="2" t="s">
        <v>214</v>
      </c>
      <c r="C31" s="3" t="s">
        <v>215</v>
      </c>
      <c r="E31" s="2" t="s">
        <v>186</v>
      </c>
      <c r="F31" s="2" t="s">
        <v>187</v>
      </c>
      <c r="G31" s="2" t="s">
        <v>188</v>
      </c>
      <c r="H31" s="3" t="s">
        <v>189</v>
      </c>
      <c r="I31" s="2" t="s">
        <v>190</v>
      </c>
      <c r="J31" s="3" t="s">
        <v>191</v>
      </c>
      <c r="K31" s="2" t="s">
        <v>216</v>
      </c>
      <c r="L31" s="3" t="s">
        <v>217</v>
      </c>
      <c r="N31" s="4" t="s">
        <v>38</v>
      </c>
      <c r="O31" s="4" t="s">
        <v>38</v>
      </c>
      <c r="Q31" s="4" t="s">
        <v>38</v>
      </c>
      <c r="R31" s="2" t="s">
        <v>67</v>
      </c>
      <c r="S31" s="2" t="s">
        <v>40</v>
      </c>
      <c r="T31" s="3" t="s">
        <v>68</v>
      </c>
      <c r="U31" s="2" t="s">
        <v>42</v>
      </c>
      <c r="V31" s="2" t="s">
        <v>43</v>
      </c>
      <c r="Y31" s="2" t="str">
        <f>VLOOKUP(C31,[1]Cat_Objetos!$C$4:$C$346,1,FALSE)</f>
        <v>Propuesta de cambios para consulta pública</v>
      </c>
    </row>
    <row r="32" spans="1:25" x14ac:dyDescent="0.4">
      <c r="A32" s="4">
        <f t="shared" si="0"/>
        <v>29</v>
      </c>
      <c r="B32" s="2" t="s">
        <v>218</v>
      </c>
      <c r="C32" s="3" t="s">
        <v>219</v>
      </c>
      <c r="E32" s="2" t="s">
        <v>186</v>
      </c>
      <c r="F32" s="2" t="s">
        <v>187</v>
      </c>
      <c r="G32" s="2" t="s">
        <v>188</v>
      </c>
      <c r="H32" s="3" t="s">
        <v>189</v>
      </c>
      <c r="I32" s="2" t="s">
        <v>190</v>
      </c>
      <c r="J32" s="3" t="s">
        <v>191</v>
      </c>
      <c r="K32" s="2" t="s">
        <v>220</v>
      </c>
      <c r="L32" s="3" t="s">
        <v>221</v>
      </c>
      <c r="N32" s="4" t="s">
        <v>38</v>
      </c>
      <c r="O32" s="4" t="s">
        <v>38</v>
      </c>
      <c r="Q32" s="4" t="s">
        <v>38</v>
      </c>
      <c r="R32" s="2" t="s">
        <v>67</v>
      </c>
      <c r="S32" s="2" t="s">
        <v>40</v>
      </c>
      <c r="T32" s="3" t="s">
        <v>68</v>
      </c>
      <c r="U32" s="2" t="s">
        <v>42</v>
      </c>
      <c r="V32" s="2" t="s">
        <v>43</v>
      </c>
      <c r="Y32" s="2" t="str">
        <f>VLOOKUP(C32,[1]Cat_Objetos!$C$4:$C$346,1,FALSE)</f>
        <v>Datos de la consulta pública</v>
      </c>
    </row>
    <row r="33" spans="1:25" ht="29.15" x14ac:dyDescent="0.4">
      <c r="A33" s="4">
        <f t="shared" si="0"/>
        <v>30</v>
      </c>
      <c r="B33" s="2" t="s">
        <v>222</v>
      </c>
      <c r="C33" s="3" t="s">
        <v>223</v>
      </c>
      <c r="E33" s="2" t="s">
        <v>186</v>
      </c>
      <c r="F33" s="2" t="s">
        <v>187</v>
      </c>
      <c r="G33" s="2" t="s">
        <v>188</v>
      </c>
      <c r="H33" s="3" t="s">
        <v>189</v>
      </c>
      <c r="I33" s="2" t="s">
        <v>190</v>
      </c>
      <c r="J33" s="3" t="s">
        <v>191</v>
      </c>
      <c r="K33" s="2" t="s">
        <v>224</v>
      </c>
      <c r="L33" s="3" t="s">
        <v>225</v>
      </c>
      <c r="N33" s="4" t="s">
        <v>38</v>
      </c>
      <c r="O33" s="4" t="s">
        <v>38</v>
      </c>
      <c r="Q33" s="4" t="s">
        <v>38</v>
      </c>
      <c r="R33" s="2" t="s">
        <v>67</v>
      </c>
      <c r="S33" s="2" t="s">
        <v>40</v>
      </c>
      <c r="T33" s="3" t="s">
        <v>68</v>
      </c>
      <c r="U33" s="2" t="s">
        <v>42</v>
      </c>
      <c r="V33" s="2" t="s">
        <v>43</v>
      </c>
      <c r="Y33" s="2" t="str">
        <f>VLOOKUP(C33,[1]Cat_Objetos!$C$4:$C$346,1,FALSE)</f>
        <v>Reporte de resultados de la consulta pública</v>
      </c>
    </row>
    <row r="34" spans="1:25" x14ac:dyDescent="0.4">
      <c r="A34" s="4">
        <f t="shared" si="0"/>
        <v>31</v>
      </c>
      <c r="B34" s="2" t="s">
        <v>226</v>
      </c>
      <c r="C34" s="3" t="s">
        <v>227</v>
      </c>
      <c r="D34" s="2" t="s">
        <v>228</v>
      </c>
      <c r="E34" s="2" t="s">
        <v>186</v>
      </c>
      <c r="F34" s="2" t="s">
        <v>187</v>
      </c>
      <c r="G34" s="2" t="s">
        <v>188</v>
      </c>
      <c r="H34" s="3" t="s">
        <v>189</v>
      </c>
      <c r="I34" s="2" t="s">
        <v>190</v>
      </c>
      <c r="J34" s="3" t="s">
        <v>191</v>
      </c>
      <c r="K34" s="2" t="s">
        <v>229</v>
      </c>
      <c r="L34" s="3" t="s">
        <v>230</v>
      </c>
      <c r="N34" s="4" t="s">
        <v>38</v>
      </c>
      <c r="O34" s="4" t="s">
        <v>38</v>
      </c>
      <c r="Q34" s="4" t="s">
        <v>38</v>
      </c>
      <c r="R34" s="2" t="s">
        <v>231</v>
      </c>
      <c r="S34" s="2" t="s">
        <v>40</v>
      </c>
      <c r="T34" s="3" t="s">
        <v>49</v>
      </c>
      <c r="U34" s="2" t="s">
        <v>42</v>
      </c>
      <c r="V34" s="2" t="s">
        <v>43</v>
      </c>
      <c r="Y34" s="2" t="str">
        <f>VLOOKUP(C34,[1]Cat_Objetos!$C$4:$C$346,1,FALSE)</f>
        <v>Reporte de resultados de la investigación documental</v>
      </c>
    </row>
    <row r="35" spans="1:25" ht="29.15" x14ac:dyDescent="0.4">
      <c r="A35" s="4">
        <f t="shared" si="0"/>
        <v>32</v>
      </c>
      <c r="B35" s="2" t="s">
        <v>232</v>
      </c>
      <c r="C35" s="3" t="s">
        <v>233</v>
      </c>
      <c r="D35" s="2" t="s">
        <v>234</v>
      </c>
      <c r="E35" s="2" t="s">
        <v>186</v>
      </c>
      <c r="F35" s="2" t="s">
        <v>187</v>
      </c>
      <c r="G35" s="2" t="s">
        <v>188</v>
      </c>
      <c r="H35" s="3" t="s">
        <v>189</v>
      </c>
      <c r="I35" s="2" t="s">
        <v>235</v>
      </c>
      <c r="J35" s="3" t="s">
        <v>236</v>
      </c>
      <c r="K35" s="2" t="s">
        <v>237</v>
      </c>
      <c r="L35" s="3" t="s">
        <v>238</v>
      </c>
      <c r="N35" s="4" t="s">
        <v>38</v>
      </c>
      <c r="O35" s="4" t="s">
        <v>38</v>
      </c>
      <c r="Q35" s="4" t="s">
        <v>38</v>
      </c>
      <c r="R35" s="2" t="s">
        <v>239</v>
      </c>
      <c r="S35" s="2" t="s">
        <v>40</v>
      </c>
      <c r="T35" s="3" t="s">
        <v>76</v>
      </c>
      <c r="U35" s="2" t="s">
        <v>42</v>
      </c>
      <c r="V35" s="2" t="s">
        <v>43</v>
      </c>
      <c r="Y35" s="2" t="str">
        <f>VLOOKUP(C35,[1]Cat_Objetos!$C$4:$C$346,1,FALSE)</f>
        <v>Selección de la infraestructura de información utilizable</v>
      </c>
    </row>
    <row r="36" spans="1:25" ht="29.15" x14ac:dyDescent="0.4">
      <c r="A36" s="4">
        <f t="shared" si="0"/>
        <v>33</v>
      </c>
      <c r="B36" s="2" t="s">
        <v>240</v>
      </c>
      <c r="C36" s="3" t="s">
        <v>241</v>
      </c>
      <c r="D36" s="2" t="s">
        <v>242</v>
      </c>
      <c r="E36" s="2" t="s">
        <v>186</v>
      </c>
      <c r="F36" s="2" t="s">
        <v>187</v>
      </c>
      <c r="G36" s="2" t="s">
        <v>188</v>
      </c>
      <c r="H36" s="3" t="s">
        <v>189</v>
      </c>
      <c r="I36" s="2" t="s">
        <v>235</v>
      </c>
      <c r="J36" s="3" t="s">
        <v>236</v>
      </c>
      <c r="K36" s="2" t="s">
        <v>243</v>
      </c>
      <c r="L36" s="3" t="s">
        <v>244</v>
      </c>
      <c r="N36" s="4" t="s">
        <v>38</v>
      </c>
      <c r="O36" s="4" t="s">
        <v>38</v>
      </c>
      <c r="Q36" s="4" t="s">
        <v>38</v>
      </c>
      <c r="R36" s="2" t="s">
        <v>245</v>
      </c>
      <c r="S36" s="2" t="s">
        <v>40</v>
      </c>
      <c r="T36" s="3" t="s">
        <v>143</v>
      </c>
      <c r="U36" s="2" t="s">
        <v>42</v>
      </c>
      <c r="V36" s="2" t="s">
        <v>43</v>
      </c>
      <c r="Y36" s="2" t="str">
        <f>VLOOKUP(C36,[1]Cat_Objetos!$C$4:$C$346,1,FALSE)</f>
        <v>Esquema de temas, variables y categorías</v>
      </c>
    </row>
    <row r="37" spans="1:25" ht="29.15" x14ac:dyDescent="0.4">
      <c r="A37" s="4">
        <f t="shared" si="0"/>
        <v>34</v>
      </c>
      <c r="B37" s="2" t="s">
        <v>246</v>
      </c>
      <c r="C37" s="3" t="s">
        <v>247</v>
      </c>
      <c r="E37" s="2" t="s">
        <v>186</v>
      </c>
      <c r="F37" s="2" t="s">
        <v>187</v>
      </c>
      <c r="G37" s="2" t="s">
        <v>188</v>
      </c>
      <c r="H37" s="3" t="s">
        <v>189</v>
      </c>
      <c r="I37" s="2" t="s">
        <v>235</v>
      </c>
      <c r="J37" s="3" t="s">
        <v>236</v>
      </c>
      <c r="K37" s="2" t="s">
        <v>243</v>
      </c>
      <c r="L37" s="3" t="s">
        <v>244</v>
      </c>
      <c r="N37" s="4" t="s">
        <v>38</v>
      </c>
      <c r="O37" s="4" t="s">
        <v>38</v>
      </c>
      <c r="Q37" s="4" t="s">
        <v>38</v>
      </c>
      <c r="R37" s="2" t="s">
        <v>248</v>
      </c>
      <c r="S37" s="2" t="s">
        <v>40</v>
      </c>
      <c r="T37" s="3" t="s">
        <v>249</v>
      </c>
      <c r="U37" s="2" t="s">
        <v>42</v>
      </c>
      <c r="V37" s="2" t="s">
        <v>43</v>
      </c>
      <c r="Y37" s="2" t="str">
        <f>VLOOKUP(C37,[1]Cat_Objetos!$C$4:$C$346,1,FALSE)</f>
        <v>Glosario</v>
      </c>
    </row>
    <row r="38" spans="1:25" ht="29.15" x14ac:dyDescent="0.4">
      <c r="A38" s="4">
        <f t="shared" si="0"/>
        <v>35</v>
      </c>
      <c r="B38" s="2" t="s">
        <v>250</v>
      </c>
      <c r="C38" s="3" t="s">
        <v>251</v>
      </c>
      <c r="D38" s="2" t="s">
        <v>252</v>
      </c>
      <c r="E38" s="2" t="s">
        <v>186</v>
      </c>
      <c r="F38" s="2" t="s">
        <v>187</v>
      </c>
      <c r="G38" s="2" t="s">
        <v>188</v>
      </c>
      <c r="H38" s="3" t="s">
        <v>189</v>
      </c>
      <c r="I38" s="2" t="s">
        <v>235</v>
      </c>
      <c r="J38" s="3" t="s">
        <v>236</v>
      </c>
      <c r="K38" s="2" t="s">
        <v>243</v>
      </c>
      <c r="L38" s="3" t="s">
        <v>244</v>
      </c>
      <c r="N38" s="4" t="s">
        <v>38</v>
      </c>
      <c r="O38" s="4" t="s">
        <v>38</v>
      </c>
      <c r="Q38" s="4" t="s">
        <v>38</v>
      </c>
      <c r="R38" s="2" t="s">
        <v>245</v>
      </c>
      <c r="S38" s="2" t="s">
        <v>40</v>
      </c>
      <c r="T38" s="3" t="s">
        <v>143</v>
      </c>
      <c r="U38" s="2" t="s">
        <v>42</v>
      </c>
      <c r="V38" s="2" t="s">
        <v>43</v>
      </c>
      <c r="Y38" s="2" t="str">
        <f>VLOOKUP(C38,[1]Cat_Objetos!$C$4:$C$346,1,FALSE)</f>
        <v>Esquema de indicadores objetivo</v>
      </c>
    </row>
    <row r="39" spans="1:25" ht="29.15" x14ac:dyDescent="0.4">
      <c r="A39" s="4">
        <f t="shared" si="0"/>
        <v>36</v>
      </c>
      <c r="B39" s="2" t="s">
        <v>253</v>
      </c>
      <c r="C39" s="3" t="s">
        <v>254</v>
      </c>
      <c r="E39" s="2" t="s">
        <v>186</v>
      </c>
      <c r="F39" s="2" t="s">
        <v>187</v>
      </c>
      <c r="G39" s="2">
        <v>2.1</v>
      </c>
      <c r="H39" s="3" t="s">
        <v>189</v>
      </c>
      <c r="I39" s="2" t="s">
        <v>235</v>
      </c>
      <c r="J39" s="3" t="s">
        <v>236</v>
      </c>
      <c r="K39" s="2" t="s">
        <v>255</v>
      </c>
      <c r="L39" s="3" t="s">
        <v>256</v>
      </c>
      <c r="N39" s="4" t="s">
        <v>38</v>
      </c>
      <c r="O39" s="4" t="s">
        <v>38</v>
      </c>
      <c r="Q39" s="4" t="s">
        <v>38</v>
      </c>
      <c r="R39" s="2" t="s">
        <v>257</v>
      </c>
      <c r="S39" s="2" t="s">
        <v>40</v>
      </c>
      <c r="T39" s="3" t="s">
        <v>143</v>
      </c>
      <c r="U39" s="2" t="s">
        <v>42</v>
      </c>
      <c r="V39" s="2" t="s">
        <v>43</v>
      </c>
      <c r="Y39" s="2" t="str">
        <f>VLOOKUP(C39,[1]Cat_Objetos!$C$4:$C$346,1,FALSE)</f>
        <v>Marco conceptual</v>
      </c>
    </row>
    <row r="40" spans="1:25" x14ac:dyDescent="0.4">
      <c r="A40" s="4">
        <f t="shared" si="0"/>
        <v>37</v>
      </c>
      <c r="B40" s="2" t="s">
        <v>258</v>
      </c>
      <c r="C40" s="3" t="s">
        <v>259</v>
      </c>
      <c r="D40" s="2" t="s">
        <v>260</v>
      </c>
      <c r="E40" s="2" t="s">
        <v>186</v>
      </c>
      <c r="F40" s="2" t="s">
        <v>187</v>
      </c>
      <c r="G40" s="2" t="s">
        <v>188</v>
      </c>
      <c r="H40" s="3" t="s">
        <v>189</v>
      </c>
      <c r="I40" s="2" t="s">
        <v>261</v>
      </c>
      <c r="J40" s="3" t="s">
        <v>262</v>
      </c>
      <c r="K40" s="2" t="s">
        <v>263</v>
      </c>
      <c r="L40" s="3" t="s">
        <v>264</v>
      </c>
      <c r="N40" s="4" t="s">
        <v>38</v>
      </c>
      <c r="O40" s="4" t="s">
        <v>38</v>
      </c>
      <c r="Q40" s="4" t="s">
        <v>38</v>
      </c>
      <c r="R40" s="2" t="s">
        <v>265</v>
      </c>
      <c r="S40" s="2" t="s">
        <v>40</v>
      </c>
      <c r="T40" s="3" t="s">
        <v>266</v>
      </c>
      <c r="U40" s="2" t="s">
        <v>42</v>
      </c>
      <c r="V40" s="2" t="s">
        <v>43</v>
      </c>
      <c r="Y40" s="2" t="str">
        <f>VLOOKUP(C40,[1]Cat_Objetos!$C$4:$C$346,1,FALSE)</f>
        <v>Metadatos referenciales del proceso de producción</v>
      </c>
    </row>
    <row r="41" spans="1:25" x14ac:dyDescent="0.4">
      <c r="A41" s="4">
        <f t="shared" si="0"/>
        <v>38</v>
      </c>
      <c r="B41" s="2" t="s">
        <v>267</v>
      </c>
      <c r="C41" s="3" t="s">
        <v>268</v>
      </c>
      <c r="E41" s="2" t="s">
        <v>186</v>
      </c>
      <c r="F41" s="2" t="s">
        <v>187</v>
      </c>
      <c r="G41" s="2" t="s">
        <v>188</v>
      </c>
      <c r="H41" s="3" t="s">
        <v>189</v>
      </c>
      <c r="I41" s="2" t="s">
        <v>261</v>
      </c>
      <c r="J41" s="3" t="s">
        <v>262</v>
      </c>
      <c r="K41" s="2" t="s">
        <v>269</v>
      </c>
      <c r="L41" s="3" t="s">
        <v>270</v>
      </c>
      <c r="N41" s="4" t="s">
        <v>38</v>
      </c>
      <c r="O41" s="4" t="s">
        <v>38</v>
      </c>
      <c r="Q41" s="4" t="s">
        <v>38</v>
      </c>
      <c r="R41" s="2" t="s">
        <v>271</v>
      </c>
      <c r="S41" s="2" t="s">
        <v>40</v>
      </c>
      <c r="T41" s="3" t="s">
        <v>272</v>
      </c>
      <c r="U41" s="2" t="s">
        <v>42</v>
      </c>
      <c r="V41" s="2" t="s">
        <v>273</v>
      </c>
      <c r="Y41" s="2" t="str">
        <f>VLOOKUP(C41,[1]Cat_Objetos!$C$4:$C$346,1,FALSE)</f>
        <v>Modelo de base de datos para la captación</v>
      </c>
    </row>
    <row r="42" spans="1:25" x14ac:dyDescent="0.4">
      <c r="A42" s="4">
        <f t="shared" si="0"/>
        <v>39</v>
      </c>
      <c r="B42" s="2" t="s">
        <v>274</v>
      </c>
      <c r="C42" s="3" t="s">
        <v>275</v>
      </c>
      <c r="E42" s="2" t="s">
        <v>186</v>
      </c>
      <c r="F42" s="2" t="s">
        <v>187</v>
      </c>
      <c r="G42" s="2" t="s">
        <v>188</v>
      </c>
      <c r="H42" s="3" t="s">
        <v>189</v>
      </c>
      <c r="I42" s="2" t="s">
        <v>261</v>
      </c>
      <c r="J42" s="3" t="s">
        <v>262</v>
      </c>
      <c r="K42" s="2" t="s">
        <v>269</v>
      </c>
      <c r="L42" s="3" t="s">
        <v>270</v>
      </c>
      <c r="N42" s="4" t="s">
        <v>38</v>
      </c>
      <c r="O42" s="4" t="s">
        <v>38</v>
      </c>
      <c r="Q42" s="4" t="s">
        <v>38</v>
      </c>
      <c r="R42" s="2" t="s">
        <v>271</v>
      </c>
      <c r="S42" s="2" t="s">
        <v>40</v>
      </c>
      <c r="T42" s="3" t="s">
        <v>272</v>
      </c>
      <c r="U42" s="2" t="s">
        <v>42</v>
      </c>
      <c r="V42" s="2" t="s">
        <v>273</v>
      </c>
      <c r="Y42" s="2" t="str">
        <f>VLOOKUP(C42,[1]Cat_Objetos!$C$4:$C$346,1,FALSE)</f>
        <v>Diccionario de datos</v>
      </c>
    </row>
    <row r="43" spans="1:25" x14ac:dyDescent="0.4">
      <c r="A43" s="4">
        <f t="shared" si="0"/>
        <v>40</v>
      </c>
      <c r="B43" s="2" t="s">
        <v>276</v>
      </c>
      <c r="C43" s="3" t="s">
        <v>277</v>
      </c>
      <c r="D43" s="2" t="s">
        <v>278</v>
      </c>
      <c r="E43" s="2" t="s">
        <v>186</v>
      </c>
      <c r="F43" s="2" t="s">
        <v>187</v>
      </c>
      <c r="G43" s="2" t="s">
        <v>188</v>
      </c>
      <c r="H43" s="3" t="s">
        <v>189</v>
      </c>
      <c r="I43" s="2" t="s">
        <v>279</v>
      </c>
      <c r="J43" s="3" t="s">
        <v>280</v>
      </c>
      <c r="K43" s="2" t="s">
        <v>281</v>
      </c>
      <c r="L43" s="3" t="s">
        <v>282</v>
      </c>
      <c r="N43" s="4" t="s">
        <v>38</v>
      </c>
      <c r="O43" s="4" t="s">
        <v>38</v>
      </c>
      <c r="Q43" s="4" t="s">
        <v>38</v>
      </c>
      <c r="R43" s="2" t="s">
        <v>283</v>
      </c>
      <c r="S43" s="2" t="s">
        <v>40</v>
      </c>
      <c r="T43" s="3" t="s">
        <v>284</v>
      </c>
      <c r="U43" s="2" t="s">
        <v>42</v>
      </c>
      <c r="V43" s="2" t="s">
        <v>43</v>
      </c>
      <c r="Y43" s="2" t="str">
        <f>VLOOKUP(C43,[1]Cat_Objetos!$C$4:$C$346,1,FALSE)</f>
        <v>Lista de presentaciones genéricas y especializadas</v>
      </c>
    </row>
    <row r="44" spans="1:25" x14ac:dyDescent="0.4">
      <c r="A44" s="4">
        <f t="shared" si="0"/>
        <v>41</v>
      </c>
      <c r="B44" s="2" t="s">
        <v>285</v>
      </c>
      <c r="C44" s="3" t="s">
        <v>286</v>
      </c>
      <c r="E44" s="2" t="s">
        <v>186</v>
      </c>
      <c r="F44" s="2" t="s">
        <v>187</v>
      </c>
      <c r="G44" s="2" t="s">
        <v>188</v>
      </c>
      <c r="H44" s="3" t="s">
        <v>189</v>
      </c>
      <c r="I44" s="2" t="s">
        <v>279</v>
      </c>
      <c r="J44" s="3" t="s">
        <v>280</v>
      </c>
      <c r="K44" s="2" t="s">
        <v>287</v>
      </c>
      <c r="L44" s="3" t="s">
        <v>288</v>
      </c>
      <c r="N44" s="4" t="s">
        <v>38</v>
      </c>
      <c r="O44" s="4" t="s">
        <v>38</v>
      </c>
      <c r="Q44" s="4" t="s">
        <v>38</v>
      </c>
      <c r="R44" s="2" t="s">
        <v>289</v>
      </c>
      <c r="S44" s="2" t="s">
        <v>40</v>
      </c>
      <c r="T44" s="3" t="s">
        <v>284</v>
      </c>
      <c r="U44" s="2" t="s">
        <v>42</v>
      </c>
      <c r="V44" s="2" t="s">
        <v>43</v>
      </c>
      <c r="Y44" s="2" t="str">
        <f>VLOOKUP(C44,[1]Cat_Objetos!$C$4:$C$346,1,FALSE)</f>
        <v>Diseño de productos de información y sus presentaciones</v>
      </c>
    </row>
    <row r="45" spans="1:25" ht="29.15" x14ac:dyDescent="0.4">
      <c r="A45" s="4">
        <f t="shared" si="0"/>
        <v>42</v>
      </c>
      <c r="B45" s="2" t="s">
        <v>290</v>
      </c>
      <c r="C45" s="7" t="s">
        <v>291</v>
      </c>
      <c r="D45" s="2" t="s">
        <v>292</v>
      </c>
      <c r="E45" s="2" t="s">
        <v>186</v>
      </c>
      <c r="F45" s="2" t="s">
        <v>187</v>
      </c>
      <c r="G45" s="2">
        <v>2.2000000000000002</v>
      </c>
      <c r="H45" s="3" t="s">
        <v>293</v>
      </c>
      <c r="I45" s="2" t="s">
        <v>294</v>
      </c>
      <c r="J45" s="3" t="s">
        <v>295</v>
      </c>
      <c r="K45" s="2" t="s">
        <v>296</v>
      </c>
      <c r="L45" s="3" t="s">
        <v>297</v>
      </c>
      <c r="N45" s="4" t="s">
        <v>38</v>
      </c>
      <c r="O45" s="4" t="s">
        <v>38</v>
      </c>
      <c r="Q45" s="4" t="s">
        <v>38</v>
      </c>
      <c r="R45" s="2" t="s">
        <v>298</v>
      </c>
      <c r="S45" s="2" t="s">
        <v>40</v>
      </c>
      <c r="T45" s="3" t="s">
        <v>299</v>
      </c>
      <c r="U45" s="2" t="s">
        <v>42</v>
      </c>
      <c r="V45" s="2" t="s">
        <v>43</v>
      </c>
      <c r="Y45" s="2" t="e">
        <f>VLOOKUP(C45,[1]Cat_Objetos!$C$4:$C$346,1,FALSE)</f>
        <v>#N/A</v>
      </c>
    </row>
    <row r="46" spans="1:25" ht="29.15" x14ac:dyDescent="0.4">
      <c r="A46" s="4">
        <f t="shared" si="0"/>
        <v>43</v>
      </c>
      <c r="B46" s="2" t="s">
        <v>300</v>
      </c>
      <c r="C46" s="3" t="s">
        <v>301</v>
      </c>
      <c r="D46" s="2" t="s">
        <v>302</v>
      </c>
      <c r="E46" s="2" t="s">
        <v>186</v>
      </c>
      <c r="F46" s="2" t="s">
        <v>187</v>
      </c>
      <c r="G46" s="2" t="s">
        <v>303</v>
      </c>
      <c r="H46" s="3" t="s">
        <v>293</v>
      </c>
      <c r="I46" s="2" t="s">
        <v>294</v>
      </c>
      <c r="J46" s="3" t="s">
        <v>295</v>
      </c>
      <c r="K46" s="2" t="s">
        <v>304</v>
      </c>
      <c r="L46" s="3" t="s">
        <v>305</v>
      </c>
      <c r="N46" s="4" t="s">
        <v>38</v>
      </c>
      <c r="O46" s="4" t="s">
        <v>38</v>
      </c>
      <c r="Q46" s="4" t="s">
        <v>38</v>
      </c>
      <c r="R46" s="2" t="s">
        <v>298</v>
      </c>
      <c r="S46" s="2" t="s">
        <v>40</v>
      </c>
      <c r="T46" s="3" t="s">
        <v>299</v>
      </c>
      <c r="U46" s="2" t="s">
        <v>42</v>
      </c>
      <c r="V46" s="2" t="s">
        <v>43</v>
      </c>
      <c r="Y46" s="2" t="str">
        <f>VLOOKUP(C46,[1]Cat_Objetos!$C$4:$C$346,1,FALSE)</f>
        <v>Diseño de plataformas inform., componentes, app. y serv. de soft. para difusión</v>
      </c>
    </row>
    <row r="47" spans="1:25" ht="29.15" x14ac:dyDescent="0.4">
      <c r="A47" s="4">
        <f t="shared" si="0"/>
        <v>44</v>
      </c>
      <c r="B47" s="2" t="s">
        <v>306</v>
      </c>
      <c r="C47" s="3" t="s">
        <v>307</v>
      </c>
      <c r="D47" s="2" t="s">
        <v>308</v>
      </c>
      <c r="E47" s="2" t="s">
        <v>186</v>
      </c>
      <c r="F47" s="2" t="s">
        <v>187</v>
      </c>
      <c r="G47" s="2" t="s">
        <v>303</v>
      </c>
      <c r="H47" s="3" t="s">
        <v>293</v>
      </c>
      <c r="I47" s="2" t="s">
        <v>294</v>
      </c>
      <c r="J47" s="3" t="s">
        <v>295</v>
      </c>
      <c r="K47" s="2" t="s">
        <v>309</v>
      </c>
      <c r="L47" s="3" t="s">
        <v>310</v>
      </c>
      <c r="N47" s="4" t="s">
        <v>311</v>
      </c>
      <c r="O47" s="4" t="s">
        <v>38</v>
      </c>
      <c r="Q47" s="4" t="s">
        <v>38</v>
      </c>
      <c r="R47" s="2" t="s">
        <v>298</v>
      </c>
      <c r="S47" s="2" t="s">
        <v>40</v>
      </c>
      <c r="T47" s="3" t="s">
        <v>299</v>
      </c>
      <c r="U47" s="2" t="s">
        <v>42</v>
      </c>
      <c r="V47" s="2" t="s">
        <v>43</v>
      </c>
      <c r="Y47" s="2" t="str">
        <f>VLOOKUP(C47,[1]Cat_Objetos!$C$4:$C$346,1,FALSE)</f>
        <v>Diseño de plataformas informáticas, comp., app. y serv. de soft. para procesamiento</v>
      </c>
    </row>
    <row r="48" spans="1:25" ht="29.15" x14ac:dyDescent="0.4">
      <c r="A48" s="4">
        <f t="shared" si="0"/>
        <v>45</v>
      </c>
      <c r="B48" s="2" t="s">
        <v>312</v>
      </c>
      <c r="C48" s="3" t="s">
        <v>313</v>
      </c>
      <c r="E48" s="2" t="s">
        <v>186</v>
      </c>
      <c r="F48" s="2" t="s">
        <v>187</v>
      </c>
      <c r="G48" s="2" t="s">
        <v>303</v>
      </c>
      <c r="H48" s="3" t="s">
        <v>293</v>
      </c>
      <c r="I48" s="2" t="s">
        <v>294</v>
      </c>
      <c r="J48" s="3" t="s">
        <v>295</v>
      </c>
      <c r="K48" s="2" t="s">
        <v>314</v>
      </c>
      <c r="L48" s="3" t="s">
        <v>315</v>
      </c>
      <c r="N48" s="4" t="s">
        <v>38</v>
      </c>
      <c r="O48" s="4" t="s">
        <v>38</v>
      </c>
      <c r="Q48" s="4" t="s">
        <v>38</v>
      </c>
      <c r="R48" s="2" t="s">
        <v>298</v>
      </c>
      <c r="S48" s="2" t="s">
        <v>40</v>
      </c>
      <c r="T48" s="3" t="s">
        <v>299</v>
      </c>
      <c r="U48" s="2" t="s">
        <v>42</v>
      </c>
      <c r="V48" s="2" t="s">
        <v>43</v>
      </c>
      <c r="Y48" s="2" t="str">
        <f>VLOOKUP(C48,[1]Cat_Objetos!$C$4:$C$346,1,FALSE)</f>
        <v>Diseño de plataformas inform., comp., app. y serv. soft. para análisis de prod.</v>
      </c>
    </row>
    <row r="49" spans="1:25" ht="29.15" x14ac:dyDescent="0.4">
      <c r="A49" s="4">
        <f t="shared" si="0"/>
        <v>46</v>
      </c>
      <c r="B49" s="2" t="s">
        <v>316</v>
      </c>
      <c r="C49" s="3" t="s">
        <v>317</v>
      </c>
      <c r="E49" s="2" t="s">
        <v>186</v>
      </c>
      <c r="F49" s="2" t="s">
        <v>187</v>
      </c>
      <c r="G49" s="2" t="s">
        <v>303</v>
      </c>
      <c r="H49" s="3" t="s">
        <v>293</v>
      </c>
      <c r="I49" s="2" t="s">
        <v>294</v>
      </c>
      <c r="J49" s="3" t="s">
        <v>295</v>
      </c>
      <c r="K49" s="2" t="s">
        <v>318</v>
      </c>
      <c r="L49" s="3" t="s">
        <v>319</v>
      </c>
      <c r="N49" s="4" t="s">
        <v>38</v>
      </c>
      <c r="O49" s="4" t="s">
        <v>311</v>
      </c>
      <c r="Q49" s="4" t="s">
        <v>311</v>
      </c>
      <c r="R49" s="2" t="s">
        <v>298</v>
      </c>
      <c r="S49" s="2" t="s">
        <v>40</v>
      </c>
      <c r="T49" s="3" t="s">
        <v>299</v>
      </c>
      <c r="U49" s="2" t="s">
        <v>42</v>
      </c>
      <c r="V49" s="2" t="s">
        <v>43</v>
      </c>
      <c r="Y49" s="2" t="str">
        <f>VLOOKUP(C49,[1]Cat_Objetos!$C$4:$C$346,1,FALSE)</f>
        <v xml:space="preserve">Diseño de plataformas inform., comp., app. y serv. soft. de la integración de datos </v>
      </c>
    </row>
    <row r="50" spans="1:25" ht="29.15" x14ac:dyDescent="0.4">
      <c r="A50" s="4">
        <f t="shared" si="0"/>
        <v>47</v>
      </c>
      <c r="B50" s="2" t="s">
        <v>320</v>
      </c>
      <c r="C50" s="3" t="s">
        <v>321</v>
      </c>
      <c r="E50" s="2" t="s">
        <v>186</v>
      </c>
      <c r="F50" s="2" t="s">
        <v>187</v>
      </c>
      <c r="G50" s="2" t="s">
        <v>303</v>
      </c>
      <c r="H50" s="3" t="s">
        <v>293</v>
      </c>
      <c r="I50" s="2" t="s">
        <v>294</v>
      </c>
      <c r="J50" s="3" t="s">
        <v>295</v>
      </c>
      <c r="K50" s="2" t="s">
        <v>322</v>
      </c>
      <c r="L50" s="3" t="s">
        <v>323</v>
      </c>
      <c r="N50" s="4" t="s">
        <v>38</v>
      </c>
      <c r="O50" s="4" t="s">
        <v>311</v>
      </c>
      <c r="Q50" s="4" t="s">
        <v>311</v>
      </c>
      <c r="R50" s="2" t="s">
        <v>298</v>
      </c>
      <c r="S50" s="2" t="s">
        <v>40</v>
      </c>
      <c r="T50" s="3" t="s">
        <v>299</v>
      </c>
      <c r="U50" s="2" t="s">
        <v>42</v>
      </c>
      <c r="V50" s="2" t="s">
        <v>43</v>
      </c>
      <c r="Y50" s="2" t="str">
        <f>VLOOKUP(C50,[1]Cat_Objetos!$C$4:$C$346,1,FALSE)</f>
        <v>Diseño de plat. inform., comp., app. y serv. soft. para cálc. y calibración de pond.</v>
      </c>
    </row>
    <row r="51" spans="1:25" ht="29.15" x14ac:dyDescent="0.4">
      <c r="A51" s="4">
        <f t="shared" si="0"/>
        <v>48</v>
      </c>
      <c r="B51" s="2" t="s">
        <v>324</v>
      </c>
      <c r="C51" s="3" t="s">
        <v>325</v>
      </c>
      <c r="E51" s="2" t="s">
        <v>186</v>
      </c>
      <c r="F51" s="2" t="s">
        <v>187</v>
      </c>
      <c r="G51" s="2" t="s">
        <v>303</v>
      </c>
      <c r="H51" s="3" t="s">
        <v>293</v>
      </c>
      <c r="I51" s="2" t="s">
        <v>294</v>
      </c>
      <c r="J51" s="3" t="s">
        <v>295</v>
      </c>
      <c r="K51" s="2" t="s">
        <v>326</v>
      </c>
      <c r="L51" s="3" t="s">
        <v>327</v>
      </c>
      <c r="N51" s="4" t="s">
        <v>38</v>
      </c>
      <c r="O51" s="4" t="s">
        <v>311</v>
      </c>
      <c r="Q51" s="4" t="s">
        <v>311</v>
      </c>
      <c r="R51" s="2" t="s">
        <v>298</v>
      </c>
      <c r="S51" s="2" t="s">
        <v>40</v>
      </c>
      <c r="T51" s="3" t="s">
        <v>299</v>
      </c>
      <c r="U51" s="2" t="s">
        <v>42</v>
      </c>
      <c r="V51" s="2" t="s">
        <v>43</v>
      </c>
      <c r="Y51" s="2" t="str">
        <f>VLOOKUP(C51,[1]Cat_Objetos!$C$4:$C$346,1,FALSE)</f>
        <v>Diseño de plataformas inform., comp., app. y serv. soft. para codificar datos</v>
      </c>
    </row>
    <row r="52" spans="1:25" ht="29.15" x14ac:dyDescent="0.4">
      <c r="A52" s="4">
        <f t="shared" si="0"/>
        <v>49</v>
      </c>
      <c r="B52" s="2" t="s">
        <v>328</v>
      </c>
      <c r="C52" s="3" t="s">
        <v>329</v>
      </c>
      <c r="E52" s="2" t="s">
        <v>186</v>
      </c>
      <c r="F52" s="2" t="s">
        <v>187</v>
      </c>
      <c r="G52" s="2" t="s">
        <v>303</v>
      </c>
      <c r="H52" s="3" t="s">
        <v>293</v>
      </c>
      <c r="I52" s="2" t="s">
        <v>294</v>
      </c>
      <c r="J52" s="3" t="s">
        <v>295</v>
      </c>
      <c r="K52" s="2" t="s">
        <v>330</v>
      </c>
      <c r="L52" s="3" t="s">
        <v>331</v>
      </c>
      <c r="N52" s="4" t="s">
        <v>38</v>
      </c>
      <c r="O52" s="4" t="s">
        <v>311</v>
      </c>
      <c r="Q52" s="4" t="s">
        <v>311</v>
      </c>
      <c r="R52" s="2" t="s">
        <v>298</v>
      </c>
      <c r="S52" s="2" t="s">
        <v>40</v>
      </c>
      <c r="T52" s="3" t="s">
        <v>299</v>
      </c>
      <c r="U52" s="2" t="s">
        <v>42</v>
      </c>
      <c r="V52" s="2" t="s">
        <v>43</v>
      </c>
      <c r="Y52" s="2" t="str">
        <f>VLOOKUP(C52,[1]Cat_Objetos!$C$4:$C$346,1,FALSE)</f>
        <v>Diseño de plataformas inform., comp., app. y serv. soft. para la validación</v>
      </c>
    </row>
    <row r="53" spans="1:25" ht="29.15" x14ac:dyDescent="0.4">
      <c r="A53" s="4">
        <f t="shared" si="0"/>
        <v>50</v>
      </c>
      <c r="B53" s="2" t="s">
        <v>332</v>
      </c>
      <c r="C53" s="3" t="s">
        <v>333</v>
      </c>
      <c r="E53" s="2" t="s">
        <v>186</v>
      </c>
      <c r="F53" s="2" t="s">
        <v>187</v>
      </c>
      <c r="G53" s="2" t="s">
        <v>303</v>
      </c>
      <c r="H53" s="3" t="s">
        <v>293</v>
      </c>
      <c r="I53" s="2" t="s">
        <v>294</v>
      </c>
      <c r="J53" s="3" t="s">
        <v>295</v>
      </c>
      <c r="K53" s="2" t="s">
        <v>334</v>
      </c>
      <c r="L53" s="3" t="s">
        <v>335</v>
      </c>
      <c r="N53" s="4" t="s">
        <v>38</v>
      </c>
      <c r="O53" s="4" t="s">
        <v>311</v>
      </c>
      <c r="Q53" s="4" t="s">
        <v>311</v>
      </c>
      <c r="R53" s="2" t="s">
        <v>298</v>
      </c>
      <c r="S53" s="2" t="s">
        <v>40</v>
      </c>
      <c r="T53" s="3" t="s">
        <v>299</v>
      </c>
      <c r="U53" s="2" t="s">
        <v>42</v>
      </c>
      <c r="V53" s="2" t="s">
        <v>43</v>
      </c>
      <c r="Y53" s="2" t="str">
        <f>VLOOKUP(C53,[1]Cat_Objetos!$C$4:$C$346,1,FALSE)</f>
        <v>Diseño de plataformas inform., comp., app. y serv. soft. de edición e imputación</v>
      </c>
    </row>
    <row r="54" spans="1:25" ht="29.15" x14ac:dyDescent="0.4">
      <c r="A54" s="4">
        <f t="shared" si="0"/>
        <v>51</v>
      </c>
      <c r="B54" s="2" t="s">
        <v>336</v>
      </c>
      <c r="C54" s="3" t="s">
        <v>337</v>
      </c>
      <c r="E54" s="2" t="s">
        <v>186</v>
      </c>
      <c r="F54" s="2" t="s">
        <v>187</v>
      </c>
      <c r="G54" s="2" t="s">
        <v>303</v>
      </c>
      <c r="H54" s="3" t="s">
        <v>293</v>
      </c>
      <c r="I54" s="2" t="s">
        <v>294</v>
      </c>
      <c r="J54" s="3" t="s">
        <v>295</v>
      </c>
      <c r="K54" s="2" t="s">
        <v>338</v>
      </c>
      <c r="L54" s="3" t="s">
        <v>339</v>
      </c>
      <c r="N54" s="4" t="s">
        <v>38</v>
      </c>
      <c r="O54" s="4" t="s">
        <v>311</v>
      </c>
      <c r="Q54" s="4" t="s">
        <v>311</v>
      </c>
      <c r="R54" s="2" t="s">
        <v>298</v>
      </c>
      <c r="S54" s="2" t="s">
        <v>40</v>
      </c>
      <c r="T54" s="3" t="s">
        <v>299</v>
      </c>
      <c r="U54" s="2" t="s">
        <v>42</v>
      </c>
      <c r="V54" s="2" t="s">
        <v>43</v>
      </c>
      <c r="Y54" s="2" t="str">
        <f>VLOOKUP(C54,[1]Cat_Objetos!$C$4:$C$346,1,FALSE)</f>
        <v>Diseño de plat. inform., comp., app. y serv. soft. para nuevas variables o unidades</v>
      </c>
    </row>
    <row r="55" spans="1:25" ht="29.15" x14ac:dyDescent="0.4">
      <c r="A55" s="4">
        <f t="shared" si="0"/>
        <v>52</v>
      </c>
      <c r="B55" s="2" t="s">
        <v>340</v>
      </c>
      <c r="C55" s="3" t="s">
        <v>341</v>
      </c>
      <c r="E55" s="2" t="s">
        <v>186</v>
      </c>
      <c r="F55" s="2" t="s">
        <v>187</v>
      </c>
      <c r="G55" s="2" t="s">
        <v>303</v>
      </c>
      <c r="H55" s="3" t="s">
        <v>293</v>
      </c>
      <c r="I55" s="2" t="s">
        <v>294</v>
      </c>
      <c r="J55" s="3" t="s">
        <v>295</v>
      </c>
      <c r="K55" s="2" t="s">
        <v>342</v>
      </c>
      <c r="L55" s="3" t="s">
        <v>343</v>
      </c>
      <c r="N55" s="4" t="s">
        <v>38</v>
      </c>
      <c r="O55" s="4" t="s">
        <v>311</v>
      </c>
      <c r="Q55" s="4" t="s">
        <v>311</v>
      </c>
      <c r="R55" s="2" t="s">
        <v>298</v>
      </c>
      <c r="S55" s="2" t="s">
        <v>40</v>
      </c>
      <c r="T55" s="3" t="s">
        <v>299</v>
      </c>
      <c r="U55" s="2" t="s">
        <v>42</v>
      </c>
      <c r="V55" s="2" t="s">
        <v>43</v>
      </c>
      <c r="Y55" s="2" t="str">
        <f>VLOOKUP(C55,[1]Cat_Objetos!$C$4:$C$346,1,FALSE)</f>
        <v xml:space="preserve">Diseño de plat. inform., comp., app. y serv. soft. para agregaciones y medidas est. </v>
      </c>
    </row>
    <row r="56" spans="1:25" x14ac:dyDescent="0.4">
      <c r="A56" s="4">
        <f t="shared" si="0"/>
        <v>53</v>
      </c>
      <c r="B56" s="2" t="s">
        <v>344</v>
      </c>
      <c r="C56" s="3" t="s">
        <v>345</v>
      </c>
      <c r="E56" s="2" t="s">
        <v>186</v>
      </c>
      <c r="F56" s="2" t="s">
        <v>187</v>
      </c>
      <c r="G56" s="2" t="s">
        <v>303</v>
      </c>
      <c r="H56" s="3" t="s">
        <v>293</v>
      </c>
      <c r="I56" s="2" t="s">
        <v>346</v>
      </c>
      <c r="J56" s="3" t="s">
        <v>347</v>
      </c>
      <c r="K56" s="2" t="s">
        <v>348</v>
      </c>
      <c r="L56" s="3" t="s">
        <v>349</v>
      </c>
      <c r="N56" s="4" t="s">
        <v>38</v>
      </c>
      <c r="O56" s="4" t="s">
        <v>38</v>
      </c>
      <c r="Q56" s="4" t="s">
        <v>38</v>
      </c>
      <c r="R56" s="2" t="s">
        <v>350</v>
      </c>
      <c r="S56" s="2" t="s">
        <v>40</v>
      </c>
      <c r="T56" s="3" t="s">
        <v>351</v>
      </c>
      <c r="U56" s="2" t="s">
        <v>42</v>
      </c>
      <c r="V56" s="2" t="s">
        <v>43</v>
      </c>
      <c r="Y56" s="2" t="str">
        <f>VLOOKUP(C56,[1]Cat_Objetos!$C$4:$C$346,1,FALSE)</f>
        <v>Diseño de flujo de trabajo (MPP)</v>
      </c>
    </row>
    <row r="57" spans="1:25" ht="29.15" x14ac:dyDescent="0.4">
      <c r="A57" s="4">
        <f t="shared" si="0"/>
        <v>54</v>
      </c>
      <c r="B57" s="2" t="s">
        <v>352</v>
      </c>
      <c r="C57" s="3" t="s">
        <v>353</v>
      </c>
      <c r="D57" s="8"/>
      <c r="E57" s="2" t="s">
        <v>186</v>
      </c>
      <c r="F57" s="2" t="s">
        <v>187</v>
      </c>
      <c r="G57" s="2" t="s">
        <v>303</v>
      </c>
      <c r="H57" s="3" t="s">
        <v>293</v>
      </c>
      <c r="I57" s="2" t="s">
        <v>346</v>
      </c>
      <c r="J57" s="3" t="s">
        <v>347</v>
      </c>
      <c r="K57" s="2" t="s">
        <v>354</v>
      </c>
      <c r="L57" s="3" t="s">
        <v>355</v>
      </c>
      <c r="N57" s="4" t="s">
        <v>38</v>
      </c>
      <c r="O57" s="4" t="s">
        <v>38</v>
      </c>
      <c r="Q57" s="4" t="s">
        <v>38</v>
      </c>
      <c r="R57" s="2" t="s">
        <v>298</v>
      </c>
      <c r="S57" s="2" t="s">
        <v>40</v>
      </c>
      <c r="T57" s="3" t="s">
        <v>299</v>
      </c>
      <c r="U57" s="2" t="s">
        <v>42</v>
      </c>
      <c r="V57" s="2" t="s">
        <v>43</v>
      </c>
      <c r="Y57" s="2" t="str">
        <f>VLOOKUP(C57,[1]Cat_Objetos!$C$4:$C$346,1,FALSE)</f>
        <v>Diseño de plataformas informáticas, componentes, app. y serv. de software del flujo de trabajo</v>
      </c>
    </row>
    <row r="58" spans="1:25" ht="29.15" x14ac:dyDescent="0.4">
      <c r="A58" s="4">
        <f t="shared" si="0"/>
        <v>55</v>
      </c>
      <c r="B58" s="2" t="s">
        <v>356</v>
      </c>
      <c r="C58" s="3" t="s">
        <v>357</v>
      </c>
      <c r="E58" s="2" t="s">
        <v>186</v>
      </c>
      <c r="F58" s="2" t="s">
        <v>187</v>
      </c>
      <c r="G58" s="2" t="s">
        <v>358</v>
      </c>
      <c r="H58" s="3" t="s">
        <v>359</v>
      </c>
      <c r="I58" s="2" t="s">
        <v>360</v>
      </c>
      <c r="J58" s="3" t="s">
        <v>361</v>
      </c>
      <c r="K58" s="2" t="s">
        <v>362</v>
      </c>
      <c r="L58" s="3" t="s">
        <v>363</v>
      </c>
      <c r="N58" s="4" t="s">
        <v>38</v>
      </c>
      <c r="O58" s="4" t="s">
        <v>38</v>
      </c>
      <c r="Q58" s="4" t="s">
        <v>38</v>
      </c>
      <c r="R58" s="2" t="s">
        <v>364</v>
      </c>
      <c r="S58" s="2" t="s">
        <v>40</v>
      </c>
      <c r="T58" s="3" t="s">
        <v>365</v>
      </c>
      <c r="U58" s="2" t="s">
        <v>42</v>
      </c>
      <c r="V58" s="2" t="s">
        <v>43</v>
      </c>
      <c r="Y58" s="2" t="str">
        <f>VLOOKUP(C58,[1]Cat_Objetos!$C$4:$C$346,1,FALSE)</f>
        <v>Esquema del flujo del cuestionario</v>
      </c>
    </row>
    <row r="59" spans="1:25" x14ac:dyDescent="0.4">
      <c r="A59" s="4">
        <f t="shared" si="0"/>
        <v>56</v>
      </c>
      <c r="B59" s="2" t="s">
        <v>366</v>
      </c>
      <c r="C59" s="3" t="s">
        <v>367</v>
      </c>
      <c r="E59" s="2" t="s">
        <v>186</v>
      </c>
      <c r="F59" s="2" t="s">
        <v>187</v>
      </c>
      <c r="G59" s="2" t="s">
        <v>358</v>
      </c>
      <c r="H59" s="3" t="s">
        <v>359</v>
      </c>
      <c r="I59" s="2" t="s">
        <v>360</v>
      </c>
      <c r="J59" s="3" t="s">
        <v>361</v>
      </c>
      <c r="K59" s="2" t="s">
        <v>368</v>
      </c>
      <c r="L59" s="3" t="s">
        <v>369</v>
      </c>
      <c r="N59" s="4" t="s">
        <v>38</v>
      </c>
      <c r="O59" s="4" t="s">
        <v>38</v>
      </c>
      <c r="Q59" s="4" t="s">
        <v>38</v>
      </c>
      <c r="R59" s="2" t="s">
        <v>364</v>
      </c>
      <c r="S59" s="2" t="s">
        <v>40</v>
      </c>
      <c r="T59" s="3" t="s">
        <v>370</v>
      </c>
      <c r="U59" s="2" t="s">
        <v>42</v>
      </c>
      <c r="V59" s="2" t="s">
        <v>43</v>
      </c>
      <c r="Y59" s="2" t="str">
        <f>VLOOKUP(C59,[1]Cat_Objetos!$C$4:$C$346,1,FALSE)</f>
        <v>Cuestionario</v>
      </c>
    </row>
    <row r="60" spans="1:25" x14ac:dyDescent="0.4">
      <c r="A60" s="4">
        <f t="shared" si="0"/>
        <v>57</v>
      </c>
      <c r="B60" s="2" t="s">
        <v>371</v>
      </c>
      <c r="C60" s="3" t="s">
        <v>372</v>
      </c>
      <c r="E60" s="2" t="s">
        <v>186</v>
      </c>
      <c r="F60" s="2" t="s">
        <v>187</v>
      </c>
      <c r="G60" s="2" t="s">
        <v>358</v>
      </c>
      <c r="H60" s="3" t="s">
        <v>359</v>
      </c>
      <c r="I60" s="2" t="s">
        <v>360</v>
      </c>
      <c r="J60" s="3" t="s">
        <v>361</v>
      </c>
      <c r="K60" s="2" t="s">
        <v>368</v>
      </c>
      <c r="L60" s="3" t="s">
        <v>369</v>
      </c>
      <c r="N60" s="4" t="s">
        <v>38</v>
      </c>
      <c r="O60" s="4" t="s">
        <v>38</v>
      </c>
      <c r="Q60" s="4" t="s">
        <v>38</v>
      </c>
      <c r="R60" s="2" t="s">
        <v>364</v>
      </c>
      <c r="S60" s="2" t="s">
        <v>40</v>
      </c>
      <c r="T60" s="3" t="s">
        <v>76</v>
      </c>
      <c r="U60" s="2" t="s">
        <v>42</v>
      </c>
      <c r="V60" s="2" t="s">
        <v>43</v>
      </c>
      <c r="Y60" s="2" t="str">
        <f>VLOOKUP(C60,[1]Cat_Objetos!$C$4:$C$346,1,FALSE)</f>
        <v>Guías de observación</v>
      </c>
    </row>
    <row r="61" spans="1:25" x14ac:dyDescent="0.4">
      <c r="A61" s="4">
        <f t="shared" si="0"/>
        <v>58</v>
      </c>
      <c r="B61" s="2" t="s">
        <v>373</v>
      </c>
      <c r="C61" s="3" t="s">
        <v>374</v>
      </c>
      <c r="E61" s="2" t="s">
        <v>186</v>
      </c>
      <c r="F61" s="2" t="s">
        <v>187</v>
      </c>
      <c r="G61" s="2" t="s">
        <v>358</v>
      </c>
      <c r="H61" s="3" t="s">
        <v>359</v>
      </c>
      <c r="I61" s="2" t="s">
        <v>360</v>
      </c>
      <c r="J61" s="3" t="s">
        <v>361</v>
      </c>
      <c r="K61" s="2" t="s">
        <v>368</v>
      </c>
      <c r="L61" s="3" t="s">
        <v>369</v>
      </c>
      <c r="N61" s="4" t="s">
        <v>38</v>
      </c>
      <c r="O61" s="4" t="s">
        <v>38</v>
      </c>
      <c r="Q61" s="4" t="s">
        <v>38</v>
      </c>
      <c r="R61" s="2" t="s">
        <v>364</v>
      </c>
      <c r="S61" s="2" t="s">
        <v>40</v>
      </c>
      <c r="T61" s="3" t="s">
        <v>375</v>
      </c>
      <c r="U61" s="2" t="s">
        <v>42</v>
      </c>
      <c r="V61" s="2" t="s">
        <v>43</v>
      </c>
      <c r="Y61" s="2" t="str">
        <f>VLOOKUP(C61,[1]Cat_Objetos!$C$4:$C$346,1,FALSE)</f>
        <v>Bitácora de cambios al cuestionario</v>
      </c>
    </row>
    <row r="62" spans="1:25" x14ac:dyDescent="0.4">
      <c r="A62" s="4">
        <f t="shared" si="0"/>
        <v>59</v>
      </c>
      <c r="B62" s="2" t="s">
        <v>376</v>
      </c>
      <c r="C62" s="3" t="s">
        <v>377</v>
      </c>
      <c r="E62" s="2" t="s">
        <v>186</v>
      </c>
      <c r="F62" s="2" t="s">
        <v>187</v>
      </c>
      <c r="G62" s="2" t="s">
        <v>358</v>
      </c>
      <c r="H62" s="3" t="s">
        <v>359</v>
      </c>
      <c r="I62" s="2" t="s">
        <v>360</v>
      </c>
      <c r="J62" s="3" t="s">
        <v>361</v>
      </c>
      <c r="K62" s="2" t="s">
        <v>378</v>
      </c>
      <c r="L62" s="3" t="s">
        <v>379</v>
      </c>
      <c r="N62" s="4" t="s">
        <v>38</v>
      </c>
      <c r="O62" s="4" t="s">
        <v>38</v>
      </c>
      <c r="Q62" s="4" t="s">
        <v>38</v>
      </c>
      <c r="R62" s="2" t="s">
        <v>364</v>
      </c>
      <c r="S62" s="2" t="s">
        <v>40</v>
      </c>
      <c r="T62" s="3" t="s">
        <v>76</v>
      </c>
      <c r="U62" s="2" t="s">
        <v>42</v>
      </c>
      <c r="V62" s="2" t="s">
        <v>43</v>
      </c>
      <c r="Y62" s="2" t="str">
        <f>VLOOKUP(C62,[1]Cat_Objetos!$C$4:$C$346,1,FALSE)</f>
        <v>Resultado de las pruebas</v>
      </c>
    </row>
    <row r="63" spans="1:25" x14ac:dyDescent="0.4">
      <c r="A63" s="4">
        <f t="shared" si="0"/>
        <v>60</v>
      </c>
      <c r="B63" s="2" t="s">
        <v>380</v>
      </c>
      <c r="C63" s="7" t="s">
        <v>381</v>
      </c>
      <c r="E63" s="2" t="s">
        <v>186</v>
      </c>
      <c r="F63" s="2" t="s">
        <v>187</v>
      </c>
      <c r="G63" s="2" t="s">
        <v>358</v>
      </c>
      <c r="H63" s="3" t="s">
        <v>359</v>
      </c>
      <c r="I63" s="2" t="s">
        <v>360</v>
      </c>
      <c r="J63" s="3" t="s">
        <v>361</v>
      </c>
      <c r="K63" s="2" t="s">
        <v>382</v>
      </c>
      <c r="L63" s="3" t="s">
        <v>383</v>
      </c>
      <c r="N63" s="4" t="s">
        <v>38</v>
      </c>
      <c r="O63" s="4" t="s">
        <v>38</v>
      </c>
      <c r="Q63" s="4" t="s">
        <v>38</v>
      </c>
      <c r="R63" s="2" t="s">
        <v>364</v>
      </c>
      <c r="S63" s="2" t="s">
        <v>40</v>
      </c>
      <c r="T63" s="3" t="s">
        <v>76</v>
      </c>
      <c r="U63" s="2" t="s">
        <v>42</v>
      </c>
      <c r="V63" s="2" t="s">
        <v>43</v>
      </c>
      <c r="Y63" s="2" t="e">
        <f>VLOOKUP(C63,[1]Cat_Objetos!$C$4:$C$346,1,FALSE)</f>
        <v>#N/A</v>
      </c>
    </row>
    <row r="64" spans="1:25" ht="29.15" x14ac:dyDescent="0.4">
      <c r="A64" s="4">
        <f t="shared" si="0"/>
        <v>61</v>
      </c>
      <c r="B64" s="9" t="s">
        <v>384</v>
      </c>
      <c r="C64" s="10" t="s">
        <v>385</v>
      </c>
      <c r="E64" s="2" t="s">
        <v>186</v>
      </c>
      <c r="F64" s="2" t="s">
        <v>187</v>
      </c>
      <c r="G64" s="2" t="s">
        <v>358</v>
      </c>
      <c r="H64" s="3" t="s">
        <v>359</v>
      </c>
      <c r="I64" s="2" t="s">
        <v>360</v>
      </c>
      <c r="J64" s="3" t="s">
        <v>361</v>
      </c>
      <c r="K64" s="2" t="s">
        <v>386</v>
      </c>
      <c r="L64" s="3" t="s">
        <v>387</v>
      </c>
      <c r="N64" s="4" t="s">
        <v>38</v>
      </c>
      <c r="O64" s="4" t="s">
        <v>38</v>
      </c>
      <c r="Q64" s="4" t="s">
        <v>38</v>
      </c>
      <c r="R64" s="2" t="s">
        <v>364</v>
      </c>
      <c r="S64" s="2" t="s">
        <v>40</v>
      </c>
      <c r="T64" s="3" t="s">
        <v>76</v>
      </c>
      <c r="U64" s="2" t="s">
        <v>42</v>
      </c>
      <c r="V64" s="2" t="s">
        <v>43</v>
      </c>
      <c r="Y64" s="2" t="e">
        <f>VLOOKUP(C64,[1]Cat_Objetos!$C$4:$C$346,1,FALSE)</f>
        <v>#N/A</v>
      </c>
    </row>
    <row r="65" spans="1:25" x14ac:dyDescent="0.4">
      <c r="A65" s="4">
        <f t="shared" si="0"/>
        <v>62</v>
      </c>
      <c r="B65" s="2" t="s">
        <v>388</v>
      </c>
      <c r="C65" s="3" t="s">
        <v>389</v>
      </c>
      <c r="E65" s="2" t="s">
        <v>186</v>
      </c>
      <c r="F65" s="2" t="s">
        <v>187</v>
      </c>
      <c r="G65" s="2" t="s">
        <v>358</v>
      </c>
      <c r="H65" s="3" t="s">
        <v>359</v>
      </c>
      <c r="I65" s="2" t="s">
        <v>390</v>
      </c>
      <c r="J65" s="3" t="s">
        <v>391</v>
      </c>
      <c r="K65" s="2" t="s">
        <v>392</v>
      </c>
      <c r="L65" s="3" t="s">
        <v>393</v>
      </c>
      <c r="N65" s="4" t="s">
        <v>38</v>
      </c>
      <c r="O65" s="4" t="s">
        <v>38</v>
      </c>
      <c r="Q65" s="4" t="s">
        <v>38</v>
      </c>
      <c r="R65" s="2" t="s">
        <v>364</v>
      </c>
      <c r="S65" s="2" t="s">
        <v>40</v>
      </c>
      <c r="T65" s="3" t="s">
        <v>394</v>
      </c>
      <c r="U65" s="2" t="s">
        <v>42</v>
      </c>
      <c r="V65" s="2" t="s">
        <v>43</v>
      </c>
      <c r="Y65" s="2" t="str">
        <f>VLOOKUP(C65,[1]Cat_Objetos!$C$4:$C$346,1,FALSE)</f>
        <v>Definición de canales y protocolos de captación</v>
      </c>
    </row>
    <row r="66" spans="1:25" x14ac:dyDescent="0.4">
      <c r="A66" s="4">
        <f t="shared" si="0"/>
        <v>63</v>
      </c>
      <c r="B66" s="2" t="s">
        <v>395</v>
      </c>
      <c r="C66" s="3" t="s">
        <v>396</v>
      </c>
      <c r="E66" s="2" t="s">
        <v>186</v>
      </c>
      <c r="F66" s="2" t="s">
        <v>187</v>
      </c>
      <c r="G66" s="2" t="s">
        <v>358</v>
      </c>
      <c r="H66" s="3" t="s">
        <v>359</v>
      </c>
      <c r="I66" s="2" t="s">
        <v>390</v>
      </c>
      <c r="J66" s="3" t="s">
        <v>391</v>
      </c>
      <c r="K66" s="2" t="s">
        <v>397</v>
      </c>
      <c r="L66" s="3" t="s">
        <v>398</v>
      </c>
      <c r="N66" s="4" t="s">
        <v>38</v>
      </c>
      <c r="O66" s="4" t="s">
        <v>38</v>
      </c>
      <c r="Q66" s="4" t="s">
        <v>38</v>
      </c>
      <c r="R66" s="2" t="s">
        <v>399</v>
      </c>
      <c r="S66" s="2" t="s">
        <v>40</v>
      </c>
      <c r="T66" s="3" t="s">
        <v>400</v>
      </c>
      <c r="U66" s="2" t="s">
        <v>42</v>
      </c>
      <c r="V66" s="2" t="s">
        <v>43</v>
      </c>
      <c r="Y66" s="2" t="str">
        <f>VLOOKUP(C66,[1]Cat_Objetos!$C$4:$C$346,1,FALSE)</f>
        <v>Criterios de validación de campo</v>
      </c>
    </row>
    <row r="67" spans="1:25" x14ac:dyDescent="0.4">
      <c r="A67" s="4">
        <f t="shared" si="0"/>
        <v>64</v>
      </c>
      <c r="B67" s="2" t="s">
        <v>401</v>
      </c>
      <c r="C67" s="3" t="s">
        <v>402</v>
      </c>
      <c r="E67" s="2" t="s">
        <v>186</v>
      </c>
      <c r="F67" s="2" t="s">
        <v>187</v>
      </c>
      <c r="G67" s="2" t="s">
        <v>358</v>
      </c>
      <c r="H67" s="3" t="s">
        <v>359</v>
      </c>
      <c r="I67" s="2" t="s">
        <v>390</v>
      </c>
      <c r="J67" s="3" t="s">
        <v>391</v>
      </c>
      <c r="K67" s="2" t="s">
        <v>403</v>
      </c>
      <c r="L67" s="3" t="s">
        <v>404</v>
      </c>
      <c r="N67" s="4" t="s">
        <v>38</v>
      </c>
      <c r="O67" s="4" t="s">
        <v>38</v>
      </c>
      <c r="Q67" s="4" t="s">
        <v>38</v>
      </c>
      <c r="R67" s="2" t="s">
        <v>405</v>
      </c>
      <c r="S67" s="2" t="s">
        <v>40</v>
      </c>
      <c r="T67" s="3" t="s">
        <v>406</v>
      </c>
      <c r="U67" s="2" t="s">
        <v>42</v>
      </c>
      <c r="V67" s="2" t="s">
        <v>43</v>
      </c>
      <c r="Y67" s="2" t="str">
        <f>VLOOKUP(C67,[1]Cat_Objetos!$C$4:$C$346,1,FALSE)</f>
        <v>Material de capacitación para la captación</v>
      </c>
    </row>
    <row r="68" spans="1:25" ht="29.15" x14ac:dyDescent="0.4">
      <c r="A68" s="4">
        <f t="shared" si="0"/>
        <v>65</v>
      </c>
      <c r="B68" s="2" t="s">
        <v>407</v>
      </c>
      <c r="C68" s="3" t="s">
        <v>408</v>
      </c>
      <c r="E68" s="2" t="s">
        <v>186</v>
      </c>
      <c r="F68" s="2" t="s">
        <v>187</v>
      </c>
      <c r="G68" s="2" t="s">
        <v>358</v>
      </c>
      <c r="H68" s="3" t="s">
        <v>359</v>
      </c>
      <c r="I68" s="2" t="s">
        <v>390</v>
      </c>
      <c r="J68" s="3" t="s">
        <v>391</v>
      </c>
      <c r="K68" s="2" t="s">
        <v>403</v>
      </c>
      <c r="L68" s="3" t="s">
        <v>404</v>
      </c>
      <c r="N68" s="4" t="s">
        <v>38</v>
      </c>
      <c r="O68" s="4" t="s">
        <v>38</v>
      </c>
      <c r="Q68" s="4" t="s">
        <v>38</v>
      </c>
      <c r="R68" s="2" t="s">
        <v>405</v>
      </c>
      <c r="S68" s="2" t="s">
        <v>40</v>
      </c>
      <c r="T68" s="3" t="s">
        <v>409</v>
      </c>
      <c r="U68" s="2" t="s">
        <v>42</v>
      </c>
      <c r="V68" s="2" t="s">
        <v>43</v>
      </c>
      <c r="Y68" s="2" t="str">
        <f>VLOOKUP(C68,[1]Cat_Objetos!$C$4:$C$346,1,FALSE)</f>
        <v>Manuales operativos</v>
      </c>
    </row>
    <row r="69" spans="1:25" x14ac:dyDescent="0.4">
      <c r="A69" s="4">
        <f t="shared" si="0"/>
        <v>66</v>
      </c>
      <c r="B69" s="2" t="s">
        <v>410</v>
      </c>
      <c r="C69" s="3" t="s">
        <v>411</v>
      </c>
      <c r="E69" s="2" t="s">
        <v>186</v>
      </c>
      <c r="F69" s="2" t="s">
        <v>187</v>
      </c>
      <c r="G69" s="2" t="s">
        <v>358</v>
      </c>
      <c r="H69" s="3" t="s">
        <v>359</v>
      </c>
      <c r="I69" s="2" t="s">
        <v>412</v>
      </c>
      <c r="J69" s="3" t="s">
        <v>413</v>
      </c>
      <c r="K69" s="2" t="s">
        <v>414</v>
      </c>
      <c r="L69" s="3" t="s">
        <v>415</v>
      </c>
      <c r="N69" s="4" t="s">
        <v>38</v>
      </c>
      <c r="O69" s="4" t="s">
        <v>38</v>
      </c>
      <c r="Q69" s="4" t="s">
        <v>38</v>
      </c>
      <c r="R69" s="2" t="s">
        <v>416</v>
      </c>
      <c r="S69" s="2" t="s">
        <v>40</v>
      </c>
      <c r="T69" s="3" t="s">
        <v>95</v>
      </c>
      <c r="U69" s="2" t="s">
        <v>42</v>
      </c>
      <c r="V69" s="2" t="s">
        <v>43</v>
      </c>
      <c r="Y69" s="2" t="str">
        <f>VLOOKUP(C69,[1]Cat_Objetos!$C$4:$C$346,1,FALSE)</f>
        <v>Características del equipamiento necesario por figura operativa</v>
      </c>
    </row>
    <row r="70" spans="1:25" x14ac:dyDescent="0.4">
      <c r="A70" s="4">
        <f t="shared" ref="A70:A133" si="1">A69+1</f>
        <v>67</v>
      </c>
      <c r="B70" s="2" t="s">
        <v>417</v>
      </c>
      <c r="C70" s="3" t="s">
        <v>418</v>
      </c>
      <c r="E70" s="2" t="s">
        <v>186</v>
      </c>
      <c r="F70" s="2" t="s">
        <v>187</v>
      </c>
      <c r="G70" s="2" t="s">
        <v>358</v>
      </c>
      <c r="H70" s="3" t="s">
        <v>359</v>
      </c>
      <c r="I70" s="2" t="s">
        <v>412</v>
      </c>
      <c r="J70" s="3" t="s">
        <v>413</v>
      </c>
      <c r="K70" s="2" t="s">
        <v>414</v>
      </c>
      <c r="L70" s="3" t="s">
        <v>415</v>
      </c>
      <c r="N70" s="4" t="s">
        <v>38</v>
      </c>
      <c r="O70" s="4" t="s">
        <v>38</v>
      </c>
      <c r="Q70" s="4" t="s">
        <v>38</v>
      </c>
      <c r="R70" s="2" t="s">
        <v>416</v>
      </c>
      <c r="S70" s="2" t="s">
        <v>40</v>
      </c>
      <c r="T70" s="3" t="s">
        <v>95</v>
      </c>
      <c r="U70" s="2" t="s">
        <v>42</v>
      </c>
      <c r="V70" s="2" t="s">
        <v>43</v>
      </c>
      <c r="Y70" s="2" t="str">
        <f>VLOOKUP(C70,[1]Cat_Objetos!$C$4:$C$346,1,FALSE)</f>
        <v>Recursos materiales necesarios por figura operativa</v>
      </c>
    </row>
    <row r="71" spans="1:25" x14ac:dyDescent="0.4">
      <c r="A71" s="4">
        <f t="shared" si="1"/>
        <v>68</v>
      </c>
      <c r="B71" s="2" t="s">
        <v>419</v>
      </c>
      <c r="C71" s="3" t="s">
        <v>420</v>
      </c>
      <c r="E71" s="2" t="s">
        <v>186</v>
      </c>
      <c r="F71" s="2" t="s">
        <v>187</v>
      </c>
      <c r="G71" s="2" t="s">
        <v>358</v>
      </c>
      <c r="H71" s="3" t="s">
        <v>359</v>
      </c>
      <c r="I71" s="2" t="s">
        <v>412</v>
      </c>
      <c r="J71" s="3" t="s">
        <v>413</v>
      </c>
      <c r="K71" s="2" t="s">
        <v>421</v>
      </c>
      <c r="L71" s="3" t="s">
        <v>422</v>
      </c>
      <c r="N71" s="4" t="s">
        <v>38</v>
      </c>
      <c r="O71" s="4" t="s">
        <v>38</v>
      </c>
      <c r="Q71" s="4" t="s">
        <v>38</v>
      </c>
      <c r="R71" s="2" t="s">
        <v>416</v>
      </c>
      <c r="S71" s="2" t="s">
        <v>40</v>
      </c>
      <c r="T71" s="3" t="s">
        <v>95</v>
      </c>
      <c r="U71" s="2" t="s">
        <v>42</v>
      </c>
      <c r="V71" s="2" t="s">
        <v>43</v>
      </c>
      <c r="Y71" s="2" t="str">
        <f>VLOOKUP(C71,[1]Cat_Objetos!$C$4:$C$346,1,FALSE)</f>
        <v>Material de promoción del operativo de campo</v>
      </c>
    </row>
    <row r="72" spans="1:25" x14ac:dyDescent="0.4">
      <c r="A72" s="4">
        <f t="shared" si="1"/>
        <v>69</v>
      </c>
      <c r="B72" s="2" t="s">
        <v>423</v>
      </c>
      <c r="C72" s="3" t="s">
        <v>424</v>
      </c>
      <c r="E72" s="2" t="s">
        <v>186</v>
      </c>
      <c r="F72" s="2" t="s">
        <v>187</v>
      </c>
      <c r="G72" s="2" t="s">
        <v>358</v>
      </c>
      <c r="H72" s="3" t="s">
        <v>359</v>
      </c>
      <c r="I72" s="2" t="s">
        <v>412</v>
      </c>
      <c r="J72" s="3" t="s">
        <v>413</v>
      </c>
      <c r="K72" s="2" t="s">
        <v>425</v>
      </c>
      <c r="L72" s="3" t="s">
        <v>426</v>
      </c>
      <c r="N72" s="4" t="s">
        <v>311</v>
      </c>
      <c r="O72" s="4" t="s">
        <v>38</v>
      </c>
      <c r="Q72" s="4" t="s">
        <v>38</v>
      </c>
      <c r="R72" s="2" t="s">
        <v>416</v>
      </c>
      <c r="S72" s="2" t="s">
        <v>40</v>
      </c>
      <c r="T72" s="3" t="s">
        <v>427</v>
      </c>
      <c r="U72" s="2" t="s">
        <v>42</v>
      </c>
      <c r="V72" s="2" t="s">
        <v>43</v>
      </c>
      <c r="Y72" s="2" t="str">
        <f>VLOOKUP(C72,[1]Cat_Objetos!$C$4:$C$346,1,FALSE)</f>
        <v>Estrategia operativa del proceso</v>
      </c>
    </row>
    <row r="73" spans="1:25" x14ac:dyDescent="0.4">
      <c r="A73" s="4">
        <f t="shared" si="1"/>
        <v>70</v>
      </c>
      <c r="B73" s="2" t="s">
        <v>428</v>
      </c>
      <c r="C73" s="3" t="s">
        <v>429</v>
      </c>
      <c r="E73" s="2" t="s">
        <v>186</v>
      </c>
      <c r="F73" s="2" t="s">
        <v>187</v>
      </c>
      <c r="G73" s="2" t="s">
        <v>358</v>
      </c>
      <c r="H73" s="3" t="s">
        <v>359</v>
      </c>
      <c r="I73" s="2" t="s">
        <v>412</v>
      </c>
      <c r="J73" s="3" t="s">
        <v>413</v>
      </c>
      <c r="K73" s="2" t="s">
        <v>425</v>
      </c>
      <c r="L73" s="3" t="s">
        <v>426</v>
      </c>
      <c r="N73" s="4" t="s">
        <v>311</v>
      </c>
      <c r="O73" s="4" t="s">
        <v>38</v>
      </c>
      <c r="Q73" s="4" t="s">
        <v>38</v>
      </c>
      <c r="R73" s="2" t="s">
        <v>416</v>
      </c>
      <c r="S73" s="2" t="s">
        <v>40</v>
      </c>
      <c r="T73" s="3" t="s">
        <v>400</v>
      </c>
      <c r="U73" s="2" t="s">
        <v>42</v>
      </c>
      <c r="V73" s="2" t="s">
        <v>43</v>
      </c>
      <c r="Y73" s="2" t="str">
        <f>VLOOKUP(C73,[1]Cat_Objetos!$C$4:$C$346,1,FALSE)</f>
        <v>Criterios e indicadores para el seguimiento y control del operativo</v>
      </c>
    </row>
    <row r="74" spans="1:25" x14ac:dyDescent="0.4">
      <c r="A74" s="4">
        <f t="shared" si="1"/>
        <v>71</v>
      </c>
      <c r="B74" s="2" t="s">
        <v>430</v>
      </c>
      <c r="C74" s="3" t="s">
        <v>431</v>
      </c>
      <c r="E74" s="2" t="s">
        <v>186</v>
      </c>
      <c r="F74" s="2" t="s">
        <v>187</v>
      </c>
      <c r="G74" s="2" t="s">
        <v>358</v>
      </c>
      <c r="H74" s="3" t="s">
        <v>359</v>
      </c>
      <c r="I74" s="2" t="s">
        <v>412</v>
      </c>
      <c r="J74" s="3" t="s">
        <v>413</v>
      </c>
      <c r="K74" s="2" t="s">
        <v>425</v>
      </c>
      <c r="L74" s="3" t="s">
        <v>426</v>
      </c>
      <c r="N74" s="4" t="s">
        <v>311</v>
      </c>
      <c r="O74" s="4" t="s">
        <v>38</v>
      </c>
      <c r="Q74" s="4" t="s">
        <v>38</v>
      </c>
      <c r="R74" s="2" t="s">
        <v>416</v>
      </c>
      <c r="S74" s="2" t="s">
        <v>40</v>
      </c>
      <c r="T74" s="3" t="s">
        <v>95</v>
      </c>
      <c r="U74" s="2" t="s">
        <v>42</v>
      </c>
      <c r="V74" s="2" t="s">
        <v>43</v>
      </c>
      <c r="Y74" s="2" t="str">
        <f>VLOOKUP(C74,[1]Cat_Objetos!$C$4:$C$346,1,FALSE)</f>
        <v>Especificación de recursos materiales requeridos</v>
      </c>
    </row>
    <row r="75" spans="1:25" ht="29.15" x14ac:dyDescent="0.4">
      <c r="A75" s="4">
        <f t="shared" si="1"/>
        <v>72</v>
      </c>
      <c r="B75" s="2" t="s">
        <v>432</v>
      </c>
      <c r="C75" s="3" t="s">
        <v>433</v>
      </c>
      <c r="E75" s="2" t="s">
        <v>186</v>
      </c>
      <c r="F75" s="2" t="s">
        <v>187</v>
      </c>
      <c r="G75" s="2" t="s">
        <v>358</v>
      </c>
      <c r="H75" s="3" t="s">
        <v>359</v>
      </c>
      <c r="I75" s="2" t="s">
        <v>412</v>
      </c>
      <c r="J75" s="3" t="s">
        <v>413</v>
      </c>
      <c r="K75" s="2" t="s">
        <v>434</v>
      </c>
      <c r="L75" s="3" t="s">
        <v>435</v>
      </c>
      <c r="N75" s="4" t="s">
        <v>38</v>
      </c>
      <c r="O75" s="4" t="s">
        <v>38</v>
      </c>
      <c r="Q75" s="4" t="s">
        <v>38</v>
      </c>
      <c r="R75" s="2" t="s">
        <v>416</v>
      </c>
      <c r="S75" s="2" t="s">
        <v>40</v>
      </c>
      <c r="T75" s="3" t="s">
        <v>436</v>
      </c>
      <c r="U75" s="2" t="s">
        <v>42</v>
      </c>
      <c r="V75" s="2" t="s">
        <v>43</v>
      </c>
      <c r="Y75" s="2" t="str">
        <f>VLOOKUP(C75,[1]Cat_Objetos!$C$4:$C$346,1,FALSE)</f>
        <v>Plantilla del personal y roles requeridos para la captación</v>
      </c>
    </row>
    <row r="76" spans="1:25" x14ac:dyDescent="0.4">
      <c r="A76" s="4">
        <f t="shared" si="1"/>
        <v>73</v>
      </c>
      <c r="B76" s="2" t="s">
        <v>437</v>
      </c>
      <c r="C76" s="3" t="s">
        <v>438</v>
      </c>
      <c r="E76" s="2" t="s">
        <v>186</v>
      </c>
      <c r="F76" s="2" t="s">
        <v>187</v>
      </c>
      <c r="G76" s="2" t="s">
        <v>358</v>
      </c>
      <c r="H76" s="3" t="s">
        <v>359</v>
      </c>
      <c r="I76" s="2" t="s">
        <v>412</v>
      </c>
      <c r="J76" s="3" t="s">
        <v>413</v>
      </c>
      <c r="K76" s="2" t="s">
        <v>439</v>
      </c>
      <c r="L76" s="3" t="s">
        <v>440</v>
      </c>
      <c r="N76" s="4" t="s">
        <v>38</v>
      </c>
      <c r="O76" s="4" t="s">
        <v>38</v>
      </c>
      <c r="Q76" s="4" t="s">
        <v>38</v>
      </c>
      <c r="R76" s="2" t="s">
        <v>416</v>
      </c>
      <c r="S76" s="2" t="s">
        <v>40</v>
      </c>
      <c r="T76" s="3" t="s">
        <v>441</v>
      </c>
      <c r="U76" s="2" t="s">
        <v>42</v>
      </c>
      <c r="V76" s="2" t="s">
        <v>43</v>
      </c>
      <c r="Y76" s="2" t="str">
        <f>VLOOKUP(C76,[1]Cat_Objetos!$C$4:$C$346,1,FALSE)</f>
        <v>Instrumento jurídico para obtener datos</v>
      </c>
    </row>
    <row r="77" spans="1:25" x14ac:dyDescent="0.4">
      <c r="A77" s="4">
        <f t="shared" si="1"/>
        <v>74</v>
      </c>
      <c r="B77" s="2" t="s">
        <v>442</v>
      </c>
      <c r="C77" s="3" t="s">
        <v>443</v>
      </c>
      <c r="E77" s="2" t="s">
        <v>186</v>
      </c>
      <c r="F77" s="2" t="s">
        <v>187</v>
      </c>
      <c r="G77" s="2" t="s">
        <v>358</v>
      </c>
      <c r="H77" s="3" t="s">
        <v>359</v>
      </c>
      <c r="I77" s="2" t="s">
        <v>412</v>
      </c>
      <c r="J77" s="3" t="s">
        <v>413</v>
      </c>
      <c r="K77" s="2" t="s">
        <v>444</v>
      </c>
      <c r="L77" s="3" t="s">
        <v>445</v>
      </c>
      <c r="N77" s="4" t="s">
        <v>38</v>
      </c>
      <c r="O77" s="4" t="s">
        <v>38</v>
      </c>
      <c r="Q77" s="4" t="s">
        <v>38</v>
      </c>
      <c r="R77" s="2" t="s">
        <v>416</v>
      </c>
      <c r="S77" s="2" t="s">
        <v>40</v>
      </c>
      <c r="T77" s="3" t="s">
        <v>299</v>
      </c>
      <c r="U77" s="2" t="s">
        <v>42</v>
      </c>
      <c r="V77" s="2" t="s">
        <v>43</v>
      </c>
      <c r="Y77" s="2" t="str">
        <f>VLOOKUP(C77,[1]Cat_Objetos!$C$4:$C$346,1,FALSE)</f>
        <v>Manual de captura de datos</v>
      </c>
    </row>
    <row r="78" spans="1:25" ht="29.15" x14ac:dyDescent="0.4">
      <c r="A78" s="4">
        <f t="shared" si="1"/>
        <v>75</v>
      </c>
      <c r="B78" s="2" t="s">
        <v>446</v>
      </c>
      <c r="C78" s="3" t="s">
        <v>447</v>
      </c>
      <c r="E78" s="2" t="s">
        <v>186</v>
      </c>
      <c r="F78" s="2" t="s">
        <v>187</v>
      </c>
      <c r="G78" s="2" t="s">
        <v>358</v>
      </c>
      <c r="H78" s="3" t="s">
        <v>359</v>
      </c>
      <c r="I78" s="2" t="s">
        <v>412</v>
      </c>
      <c r="J78" s="3" t="s">
        <v>413</v>
      </c>
      <c r="K78" s="2" t="s">
        <v>448</v>
      </c>
      <c r="L78" s="3" t="s">
        <v>449</v>
      </c>
      <c r="N78" s="4" t="s">
        <v>38</v>
      </c>
      <c r="O78" s="4" t="s">
        <v>311</v>
      </c>
      <c r="Q78" s="4" t="s">
        <v>311</v>
      </c>
      <c r="R78" s="2" t="s">
        <v>450</v>
      </c>
      <c r="S78" s="2" t="s">
        <v>40</v>
      </c>
      <c r="T78" s="3" t="s">
        <v>299</v>
      </c>
      <c r="U78" s="2" t="s">
        <v>42</v>
      </c>
      <c r="V78" s="2" t="s">
        <v>43</v>
      </c>
      <c r="Y78" s="2" t="str">
        <f>VLOOKUP(C78,[1]Cat_Objetos!$C$4:$C$346,1,FALSE)</f>
        <v>Procedimiento para visitar las unidades de observación y su verificación</v>
      </c>
    </row>
    <row r="79" spans="1:25" x14ac:dyDescent="0.4">
      <c r="A79" s="4">
        <f t="shared" si="1"/>
        <v>76</v>
      </c>
      <c r="B79" s="2" t="s">
        <v>451</v>
      </c>
      <c r="C79" s="3" t="s">
        <v>452</v>
      </c>
      <c r="E79" s="2" t="s">
        <v>186</v>
      </c>
      <c r="F79" s="2" t="s">
        <v>187</v>
      </c>
      <c r="G79" s="2" t="s">
        <v>358</v>
      </c>
      <c r="H79" s="3" t="s">
        <v>359</v>
      </c>
      <c r="I79" s="2" t="s">
        <v>412</v>
      </c>
      <c r="J79" s="3" t="s">
        <v>413</v>
      </c>
      <c r="K79" s="2" t="s">
        <v>453</v>
      </c>
      <c r="L79" s="3" t="s">
        <v>454</v>
      </c>
      <c r="N79" s="4" t="s">
        <v>38</v>
      </c>
      <c r="O79" s="4" t="s">
        <v>311</v>
      </c>
      <c r="Q79" s="4" t="s">
        <v>311</v>
      </c>
      <c r="R79" s="2" t="s">
        <v>416</v>
      </c>
      <c r="S79" s="2" t="s">
        <v>40</v>
      </c>
      <c r="T79" s="3" t="s">
        <v>95</v>
      </c>
      <c r="U79" s="2" t="s">
        <v>42</v>
      </c>
      <c r="V79" s="2" t="s">
        <v>43</v>
      </c>
      <c r="Y79" s="2" t="str">
        <f>VLOOKUP(C79,[1]Cat_Objetos!$C$4:$C$346,1,FALSE)</f>
        <v>Relación de recursos materiales en inventario</v>
      </c>
    </row>
    <row r="80" spans="1:25" x14ac:dyDescent="0.4">
      <c r="A80" s="4">
        <f t="shared" si="1"/>
        <v>77</v>
      </c>
      <c r="B80" s="2" t="s">
        <v>455</v>
      </c>
      <c r="C80" s="3" t="s">
        <v>456</v>
      </c>
      <c r="E80" s="2" t="s">
        <v>186</v>
      </c>
      <c r="F80" s="2" t="s">
        <v>187</v>
      </c>
      <c r="G80" s="2" t="s">
        <v>358</v>
      </c>
      <c r="H80" s="3" t="s">
        <v>359</v>
      </c>
      <c r="I80" s="2" t="s">
        <v>412</v>
      </c>
      <c r="J80" s="3" t="s">
        <v>413</v>
      </c>
      <c r="K80" s="2" t="s">
        <v>457</v>
      </c>
      <c r="L80" s="3" t="s">
        <v>458</v>
      </c>
      <c r="N80" s="4" t="s">
        <v>38</v>
      </c>
      <c r="O80" s="4" t="s">
        <v>311</v>
      </c>
      <c r="Q80" s="4" t="s">
        <v>311</v>
      </c>
      <c r="R80" s="2" t="s">
        <v>450</v>
      </c>
      <c r="S80" s="2" t="s">
        <v>40</v>
      </c>
      <c r="T80" s="3" t="s">
        <v>459</v>
      </c>
      <c r="U80" s="2" t="s">
        <v>42</v>
      </c>
      <c r="V80" s="2" t="s">
        <v>43</v>
      </c>
      <c r="Y80" s="2" t="str">
        <f>VLOOKUP(C80,[1]Cat_Objetos!$C$4:$C$346,1,FALSE)</f>
        <v>Estrategia para la comunicación y concertación</v>
      </c>
    </row>
    <row r="81" spans="1:25" ht="29.15" x14ac:dyDescent="0.4">
      <c r="A81" s="4">
        <f t="shared" si="1"/>
        <v>78</v>
      </c>
      <c r="B81" s="2" t="s">
        <v>460</v>
      </c>
      <c r="C81" s="3" t="s">
        <v>461</v>
      </c>
      <c r="E81" s="2" t="s">
        <v>186</v>
      </c>
      <c r="F81" s="2" t="s">
        <v>187</v>
      </c>
      <c r="G81" s="2" t="s">
        <v>358</v>
      </c>
      <c r="H81" s="3" t="s">
        <v>359</v>
      </c>
      <c r="I81" s="2" t="s">
        <v>412</v>
      </c>
      <c r="J81" s="3" t="s">
        <v>413</v>
      </c>
      <c r="K81" s="2" t="s">
        <v>457</v>
      </c>
      <c r="L81" s="3" t="s">
        <v>458</v>
      </c>
      <c r="N81" s="4" t="s">
        <v>38</v>
      </c>
      <c r="O81" s="4" t="s">
        <v>311</v>
      </c>
      <c r="Q81" s="4" t="s">
        <v>311</v>
      </c>
      <c r="R81" s="2" t="s">
        <v>364</v>
      </c>
      <c r="S81" s="2" t="s">
        <v>40</v>
      </c>
      <c r="T81" s="3" t="s">
        <v>462</v>
      </c>
      <c r="U81" s="2" t="s">
        <v>42</v>
      </c>
      <c r="V81" s="2" t="s">
        <v>43</v>
      </c>
      <c r="Y81" s="2" t="str">
        <f>VLOOKUP(C81,[1]Cat_Objetos!$C$4:$C$346,1,FALSE)</f>
        <v>Diseño de productos para promoción y difusión en medios de comunicación</v>
      </c>
    </row>
    <row r="82" spans="1:25" x14ac:dyDescent="0.4">
      <c r="A82" s="4">
        <f t="shared" si="1"/>
        <v>79</v>
      </c>
      <c r="B82" s="2" t="s">
        <v>463</v>
      </c>
      <c r="C82" s="3" t="s">
        <v>464</v>
      </c>
      <c r="E82" s="2" t="s">
        <v>186</v>
      </c>
      <c r="F82" s="2" t="s">
        <v>187</v>
      </c>
      <c r="G82" s="2" t="s">
        <v>358</v>
      </c>
      <c r="H82" s="3" t="s">
        <v>359</v>
      </c>
      <c r="I82" s="2" t="s">
        <v>412</v>
      </c>
      <c r="J82" s="3" t="s">
        <v>413</v>
      </c>
      <c r="K82" s="2" t="s">
        <v>465</v>
      </c>
      <c r="L82" s="3" t="s">
        <v>466</v>
      </c>
      <c r="N82" s="4" t="s">
        <v>38</v>
      </c>
      <c r="O82" s="4" t="s">
        <v>311</v>
      </c>
      <c r="Q82" s="4" t="s">
        <v>311</v>
      </c>
      <c r="R82" s="2" t="s">
        <v>450</v>
      </c>
      <c r="S82" s="2" t="s">
        <v>40</v>
      </c>
      <c r="T82" s="3" t="s">
        <v>351</v>
      </c>
      <c r="U82" s="2" t="s">
        <v>42</v>
      </c>
      <c r="V82" s="2" t="s">
        <v>43</v>
      </c>
      <c r="Y82" s="2" t="str">
        <f>VLOOKUP(C82,[1]Cat_Objetos!$C$4:$C$346,1,FALSE)</f>
        <v>Estrategia de control y seguimiento de la captación</v>
      </c>
    </row>
    <row r="83" spans="1:25" x14ac:dyDescent="0.4">
      <c r="A83" s="4">
        <f t="shared" si="1"/>
        <v>80</v>
      </c>
      <c r="B83" s="2" t="s">
        <v>467</v>
      </c>
      <c r="C83" s="3" t="s">
        <v>468</v>
      </c>
      <c r="E83" s="2" t="s">
        <v>186</v>
      </c>
      <c r="F83" s="2" t="s">
        <v>187</v>
      </c>
      <c r="G83" s="2" t="s">
        <v>358</v>
      </c>
      <c r="H83" s="3" t="s">
        <v>359</v>
      </c>
      <c r="I83" s="2" t="s">
        <v>412</v>
      </c>
      <c r="J83" s="3" t="s">
        <v>413</v>
      </c>
      <c r="K83" s="2" t="s">
        <v>469</v>
      </c>
      <c r="L83" s="3" t="s">
        <v>470</v>
      </c>
      <c r="N83" s="4" t="s">
        <v>38</v>
      </c>
      <c r="O83" s="4" t="s">
        <v>311</v>
      </c>
      <c r="Q83" s="4" t="s">
        <v>311</v>
      </c>
      <c r="R83" s="2" t="s">
        <v>471</v>
      </c>
      <c r="S83" s="2" t="s">
        <v>40</v>
      </c>
      <c r="T83" s="3" t="s">
        <v>299</v>
      </c>
      <c r="U83" s="2" t="s">
        <v>42</v>
      </c>
      <c r="V83" s="2" t="s">
        <v>43</v>
      </c>
      <c r="Y83" s="2" t="str">
        <f>VLOOKUP(C83,[1]Cat_Objetos!$C$4:$C$346,1,FALSE)</f>
        <v>Procedimiento para la actualización de la cartografía</v>
      </c>
    </row>
    <row r="84" spans="1:25" x14ac:dyDescent="0.4">
      <c r="A84" s="4">
        <f t="shared" si="1"/>
        <v>81</v>
      </c>
      <c r="B84" s="2" t="s">
        <v>472</v>
      </c>
      <c r="C84" s="3" t="s">
        <v>473</v>
      </c>
      <c r="E84" s="2" t="s">
        <v>186</v>
      </c>
      <c r="F84" s="2" t="s">
        <v>187</v>
      </c>
      <c r="G84" s="2" t="s">
        <v>358</v>
      </c>
      <c r="H84" s="3" t="s">
        <v>359</v>
      </c>
      <c r="I84" s="2" t="s">
        <v>412</v>
      </c>
      <c r="J84" s="3" t="s">
        <v>413</v>
      </c>
      <c r="K84" s="2" t="s">
        <v>474</v>
      </c>
      <c r="L84" s="3" t="s">
        <v>475</v>
      </c>
      <c r="N84" s="4" t="s">
        <v>38</v>
      </c>
      <c r="O84" s="4" t="s">
        <v>311</v>
      </c>
      <c r="Q84" s="4" t="s">
        <v>311</v>
      </c>
      <c r="R84" s="2" t="s">
        <v>416</v>
      </c>
      <c r="S84" s="2" t="s">
        <v>40</v>
      </c>
      <c r="T84" s="3" t="s">
        <v>95</v>
      </c>
      <c r="U84" s="2" t="s">
        <v>42</v>
      </c>
      <c r="V84" s="2" t="s">
        <v>43</v>
      </c>
      <c r="Y84" s="2" t="str">
        <f>VLOOKUP(C84,[1]Cat_Objetos!$C$4:$C$346,1,FALSE)</f>
        <v>Estrategia de reclutamiento del personal</v>
      </c>
    </row>
    <row r="85" spans="1:25" x14ac:dyDescent="0.4">
      <c r="A85" s="4">
        <f t="shared" si="1"/>
        <v>82</v>
      </c>
      <c r="B85" s="2" t="s">
        <v>476</v>
      </c>
      <c r="C85" s="3" t="s">
        <v>477</v>
      </c>
      <c r="E85" s="2" t="s">
        <v>186</v>
      </c>
      <c r="F85" s="2" t="s">
        <v>187</v>
      </c>
      <c r="G85" s="2" t="s">
        <v>358</v>
      </c>
      <c r="H85" s="3" t="s">
        <v>359</v>
      </c>
      <c r="I85" s="2" t="s">
        <v>412</v>
      </c>
      <c r="J85" s="3" t="s">
        <v>413</v>
      </c>
      <c r="K85" s="2" t="s">
        <v>478</v>
      </c>
      <c r="L85" s="3" t="s">
        <v>479</v>
      </c>
      <c r="N85" s="4" t="s">
        <v>38</v>
      </c>
      <c r="O85" s="4" t="s">
        <v>311</v>
      </c>
      <c r="Q85" s="4" t="s">
        <v>311</v>
      </c>
      <c r="R85" s="2" t="s">
        <v>416</v>
      </c>
      <c r="S85" s="2" t="s">
        <v>40</v>
      </c>
      <c r="T85" s="3" t="s">
        <v>95</v>
      </c>
      <c r="U85" s="2" t="s">
        <v>42</v>
      </c>
      <c r="V85" s="2" t="s">
        <v>43</v>
      </c>
      <c r="Y85" s="2" t="str">
        <f>VLOOKUP(C85,[1]Cat_Objetos!$C$4:$C$346,1,FALSE)</f>
        <v>Especificación de equipamiento y recursos materiales requeridos</v>
      </c>
    </row>
    <row r="86" spans="1:25" x14ac:dyDescent="0.4">
      <c r="A86" s="4">
        <f t="shared" si="1"/>
        <v>83</v>
      </c>
      <c r="B86" s="2" t="s">
        <v>480</v>
      </c>
      <c r="C86" s="3" t="s">
        <v>481</v>
      </c>
      <c r="E86" s="2" t="s">
        <v>186</v>
      </c>
      <c r="F86" s="2" t="s">
        <v>187</v>
      </c>
      <c r="G86" s="2" t="s">
        <v>358</v>
      </c>
      <c r="H86" s="3" t="s">
        <v>359</v>
      </c>
      <c r="I86" s="2" t="s">
        <v>412</v>
      </c>
      <c r="J86" s="3" t="s">
        <v>413</v>
      </c>
      <c r="K86" s="2" t="s">
        <v>482</v>
      </c>
      <c r="L86" s="3" t="s">
        <v>483</v>
      </c>
      <c r="N86" s="4" t="s">
        <v>38</v>
      </c>
      <c r="O86" s="4" t="s">
        <v>311</v>
      </c>
      <c r="Q86" s="4" t="s">
        <v>311</v>
      </c>
      <c r="R86" s="2" t="s">
        <v>484</v>
      </c>
      <c r="S86" s="2" t="s">
        <v>40</v>
      </c>
      <c r="T86" s="3" t="s">
        <v>299</v>
      </c>
      <c r="U86" s="2" t="s">
        <v>42</v>
      </c>
      <c r="V86" s="2" t="s">
        <v>43</v>
      </c>
      <c r="Y86" s="2" t="str">
        <f>VLOOKUP(C86,[1]Cat_Objetos!$C$4:$C$346,1,FALSE)</f>
        <v>Estrategia de capacitación del personal del levantamiento</v>
      </c>
    </row>
    <row r="87" spans="1:25" x14ac:dyDescent="0.4">
      <c r="A87" s="4">
        <f t="shared" si="1"/>
        <v>84</v>
      </c>
      <c r="B87" s="2" t="s">
        <v>485</v>
      </c>
      <c r="C87" s="3" t="s">
        <v>486</v>
      </c>
      <c r="E87" s="2" t="s">
        <v>186</v>
      </c>
      <c r="F87" s="2" t="s">
        <v>187</v>
      </c>
      <c r="G87" s="2" t="s">
        <v>358</v>
      </c>
      <c r="H87" s="3" t="s">
        <v>359</v>
      </c>
      <c r="I87" s="2" t="s">
        <v>412</v>
      </c>
      <c r="J87" s="3" t="s">
        <v>413</v>
      </c>
      <c r="K87" s="2" t="s">
        <v>487</v>
      </c>
      <c r="L87" s="3" t="s">
        <v>488</v>
      </c>
      <c r="N87" s="4" t="s">
        <v>38</v>
      </c>
      <c r="O87" s="4" t="s">
        <v>311</v>
      </c>
      <c r="Q87" s="4" t="s">
        <v>311</v>
      </c>
      <c r="S87" s="2" t="s">
        <v>40</v>
      </c>
      <c r="T87" s="3" t="s">
        <v>95</v>
      </c>
      <c r="U87" s="2" t="s">
        <v>42</v>
      </c>
      <c r="V87" s="2" t="s">
        <v>43</v>
      </c>
      <c r="Y87" s="2" t="str">
        <f>VLOOKUP(C87,[1]Cat_Objetos!$C$4:$C$346,1,FALSE)</f>
        <v>Procedimiento para la distribución de equipamiento y recursos materiales</v>
      </c>
    </row>
    <row r="88" spans="1:25" ht="29.15" x14ac:dyDescent="0.4">
      <c r="A88" s="4">
        <f t="shared" si="1"/>
        <v>85</v>
      </c>
      <c r="B88" s="2" t="s">
        <v>489</v>
      </c>
      <c r="C88" s="7" t="s">
        <v>490</v>
      </c>
      <c r="E88" s="2" t="s">
        <v>186</v>
      </c>
      <c r="F88" s="2" t="s">
        <v>187</v>
      </c>
      <c r="G88" s="2" t="s">
        <v>491</v>
      </c>
      <c r="H88" s="3" t="s">
        <v>492</v>
      </c>
      <c r="I88" s="2" t="s">
        <v>493</v>
      </c>
      <c r="J88" s="3" t="s">
        <v>494</v>
      </c>
      <c r="K88" s="2" t="s">
        <v>495</v>
      </c>
      <c r="L88" s="3" t="s">
        <v>496</v>
      </c>
      <c r="N88" s="4" t="s">
        <v>311</v>
      </c>
      <c r="O88" s="4" t="s">
        <v>38</v>
      </c>
      <c r="Q88" s="4" t="s">
        <v>311</v>
      </c>
      <c r="R88" s="2" t="s">
        <v>497</v>
      </c>
      <c r="S88" s="2" t="s">
        <v>40</v>
      </c>
      <c r="T88" s="3" t="s">
        <v>95</v>
      </c>
      <c r="U88" s="2" t="s">
        <v>42</v>
      </c>
      <c r="V88" s="2" t="s">
        <v>43</v>
      </c>
      <c r="Y88" s="2" t="e">
        <f>VLOOKUP(C88,[1]Cat_Objetos!$C$4:$C$346,1,FALSE)</f>
        <v>#N/A</v>
      </c>
    </row>
    <row r="89" spans="1:25" ht="29.15" x14ac:dyDescent="0.4">
      <c r="A89" s="4">
        <f t="shared" si="1"/>
        <v>86</v>
      </c>
      <c r="B89" s="2" t="s">
        <v>498</v>
      </c>
      <c r="C89" s="3" t="s">
        <v>499</v>
      </c>
      <c r="D89" s="2" t="s">
        <v>500</v>
      </c>
      <c r="E89" s="2" t="s">
        <v>186</v>
      </c>
      <c r="F89" s="2" t="s">
        <v>187</v>
      </c>
      <c r="G89" s="2" t="s">
        <v>491</v>
      </c>
      <c r="H89" s="3" t="s">
        <v>492</v>
      </c>
      <c r="I89" s="2" t="s">
        <v>493</v>
      </c>
      <c r="J89" s="3" t="s">
        <v>494</v>
      </c>
      <c r="K89" s="2" t="s">
        <v>501</v>
      </c>
      <c r="L89" s="3" t="s">
        <v>502</v>
      </c>
      <c r="N89" s="4" t="s">
        <v>311</v>
      </c>
      <c r="O89" s="4" t="s">
        <v>38</v>
      </c>
      <c r="Q89" s="4" t="s">
        <v>311</v>
      </c>
      <c r="R89" s="2" t="s">
        <v>503</v>
      </c>
      <c r="S89" s="2" t="s">
        <v>40</v>
      </c>
      <c r="T89" s="3" t="s">
        <v>504</v>
      </c>
      <c r="U89" s="2" t="s">
        <v>42</v>
      </c>
      <c r="V89" s="2" t="s">
        <v>43</v>
      </c>
      <c r="Y89" s="2" t="str">
        <f>VLOOKUP(C89,[1]Cat_Objetos!$C$4:$C$346,1,FALSE)</f>
        <v>Características del marco de muestreo</v>
      </c>
    </row>
    <row r="90" spans="1:25" ht="29.15" x14ac:dyDescent="0.4">
      <c r="A90" s="4">
        <f t="shared" si="1"/>
        <v>87</v>
      </c>
      <c r="B90" s="2" t="s">
        <v>505</v>
      </c>
      <c r="C90" s="3" t="s">
        <v>506</v>
      </c>
      <c r="E90" s="2" t="s">
        <v>186</v>
      </c>
      <c r="F90" s="2" t="s">
        <v>187</v>
      </c>
      <c r="G90" s="2" t="s">
        <v>491</v>
      </c>
      <c r="H90" s="3" t="s">
        <v>492</v>
      </c>
      <c r="I90" s="2" t="s">
        <v>493</v>
      </c>
      <c r="J90" s="3" t="s">
        <v>494</v>
      </c>
      <c r="K90" s="2" t="s">
        <v>507</v>
      </c>
      <c r="L90" s="3" t="s">
        <v>508</v>
      </c>
      <c r="N90" s="4" t="s">
        <v>311</v>
      </c>
      <c r="O90" s="4" t="s">
        <v>38</v>
      </c>
      <c r="Q90" s="4" t="s">
        <v>311</v>
      </c>
      <c r="R90" s="2" t="s">
        <v>503</v>
      </c>
      <c r="S90" s="2" t="s">
        <v>40</v>
      </c>
      <c r="T90" s="3" t="s">
        <v>95</v>
      </c>
      <c r="U90" s="2" t="s">
        <v>42</v>
      </c>
      <c r="V90" s="2" t="s">
        <v>43</v>
      </c>
      <c r="Y90" s="2" t="str">
        <f>VLOOKUP(C90,[1]Cat_Objetos!$C$4:$C$346,1,FALSE)</f>
        <v>Solicitud del marco de muestreo</v>
      </c>
    </row>
    <row r="91" spans="1:25" ht="29.15" x14ac:dyDescent="0.4">
      <c r="A91" s="4">
        <f t="shared" si="1"/>
        <v>88</v>
      </c>
      <c r="B91" s="2" t="s">
        <v>509</v>
      </c>
      <c r="C91" s="3" t="s">
        <v>510</v>
      </c>
      <c r="E91" s="2" t="s">
        <v>186</v>
      </c>
      <c r="F91" s="2" t="s">
        <v>187</v>
      </c>
      <c r="G91" s="2" t="s">
        <v>491</v>
      </c>
      <c r="H91" s="3" t="s">
        <v>492</v>
      </c>
      <c r="I91" s="2" t="s">
        <v>493</v>
      </c>
      <c r="J91" s="3" t="s">
        <v>494</v>
      </c>
      <c r="K91" s="2" t="s">
        <v>511</v>
      </c>
      <c r="L91" s="3" t="s">
        <v>512</v>
      </c>
      <c r="N91" s="4" t="s">
        <v>311</v>
      </c>
      <c r="O91" s="4" t="s">
        <v>38</v>
      </c>
      <c r="Q91" s="4" t="s">
        <v>311</v>
      </c>
      <c r="R91" s="2" t="s">
        <v>513</v>
      </c>
      <c r="S91" s="2" t="s">
        <v>40</v>
      </c>
      <c r="T91" s="3" t="s">
        <v>514</v>
      </c>
      <c r="U91" s="2" t="s">
        <v>42</v>
      </c>
      <c r="V91" s="2" t="s">
        <v>273</v>
      </c>
      <c r="Y91" s="2" t="str">
        <f>VLOOKUP(C91,[1]Cat_Objetos!$C$4:$C$346,1,FALSE)</f>
        <v>Muestra maestra</v>
      </c>
    </row>
    <row r="92" spans="1:25" ht="29.15" x14ac:dyDescent="0.4">
      <c r="A92" s="4">
        <f t="shared" si="1"/>
        <v>89</v>
      </c>
      <c r="B92" s="2" t="s">
        <v>515</v>
      </c>
      <c r="C92" s="3" t="s">
        <v>516</v>
      </c>
      <c r="E92" s="2" t="s">
        <v>186</v>
      </c>
      <c r="F92" s="2" t="s">
        <v>187</v>
      </c>
      <c r="G92" s="2" t="s">
        <v>491</v>
      </c>
      <c r="H92" s="3" t="s">
        <v>492</v>
      </c>
      <c r="I92" s="2" t="s">
        <v>493</v>
      </c>
      <c r="J92" s="3" t="s">
        <v>494</v>
      </c>
      <c r="K92" s="2" t="s">
        <v>517</v>
      </c>
      <c r="L92" s="3" t="s">
        <v>518</v>
      </c>
      <c r="N92" s="4" t="s">
        <v>311</v>
      </c>
      <c r="O92" s="4" t="s">
        <v>38</v>
      </c>
      <c r="Q92" s="4" t="s">
        <v>311</v>
      </c>
      <c r="R92" s="2" t="s">
        <v>519</v>
      </c>
      <c r="S92" s="2" t="s">
        <v>40</v>
      </c>
      <c r="T92" s="3" t="s">
        <v>266</v>
      </c>
      <c r="U92" s="2" t="s">
        <v>42</v>
      </c>
      <c r="V92" s="2" t="s">
        <v>43</v>
      </c>
      <c r="Y92" s="2" t="str">
        <f>VLOOKUP(C92,[1]Cat_Objetos!$C$4:$C$346,1,FALSE)</f>
        <v>Documentación del marco muestral</v>
      </c>
    </row>
    <row r="93" spans="1:25" ht="29.15" x14ac:dyDescent="0.4">
      <c r="A93" s="4">
        <f t="shared" si="1"/>
        <v>90</v>
      </c>
      <c r="B93" s="2" t="s">
        <v>520</v>
      </c>
      <c r="C93" s="3" t="s">
        <v>521</v>
      </c>
      <c r="D93" s="2" t="s">
        <v>522</v>
      </c>
      <c r="E93" s="2" t="s">
        <v>186</v>
      </c>
      <c r="F93" s="2" t="s">
        <v>187</v>
      </c>
      <c r="G93" s="2" t="s">
        <v>491</v>
      </c>
      <c r="H93" s="3" t="s">
        <v>492</v>
      </c>
      <c r="I93" s="2" t="s">
        <v>523</v>
      </c>
      <c r="J93" s="3" t="s">
        <v>524</v>
      </c>
      <c r="K93" s="2" t="s">
        <v>525</v>
      </c>
      <c r="L93" s="3" t="s">
        <v>526</v>
      </c>
      <c r="N93" s="4" t="s">
        <v>38</v>
      </c>
      <c r="O93" s="4" t="s">
        <v>38</v>
      </c>
      <c r="Q93" s="4" t="s">
        <v>311</v>
      </c>
      <c r="R93" s="2" t="s">
        <v>527</v>
      </c>
      <c r="S93" s="2" t="s">
        <v>40</v>
      </c>
      <c r="T93" s="3" t="s">
        <v>528</v>
      </c>
      <c r="U93" s="2" t="s">
        <v>42</v>
      </c>
      <c r="V93" s="2" t="s">
        <v>43</v>
      </c>
      <c r="Y93" s="2" t="str">
        <f>VLOOKUP(C93,[1]Cat_Objetos!$C$4:$C$346,1,FALSE)</f>
        <v>Esquema de muestreo</v>
      </c>
    </row>
    <row r="94" spans="1:25" ht="29.15" x14ac:dyDescent="0.4">
      <c r="A94" s="4">
        <f t="shared" si="1"/>
        <v>91</v>
      </c>
      <c r="B94" s="2" t="s">
        <v>529</v>
      </c>
      <c r="C94" s="3" t="s">
        <v>530</v>
      </c>
      <c r="E94" s="2" t="s">
        <v>186</v>
      </c>
      <c r="F94" s="2" t="s">
        <v>187</v>
      </c>
      <c r="G94" s="2" t="s">
        <v>491</v>
      </c>
      <c r="H94" s="3" t="s">
        <v>492</v>
      </c>
      <c r="I94" s="2" t="s">
        <v>531</v>
      </c>
      <c r="J94" s="3" t="s">
        <v>532</v>
      </c>
      <c r="K94" s="2" t="s">
        <v>533</v>
      </c>
      <c r="L94" s="3" t="s">
        <v>534</v>
      </c>
      <c r="N94" s="4" t="s">
        <v>38</v>
      </c>
      <c r="O94" s="4" t="s">
        <v>38</v>
      </c>
      <c r="Q94" s="4" t="s">
        <v>311</v>
      </c>
      <c r="R94" s="2" t="s">
        <v>519</v>
      </c>
      <c r="S94" s="2" t="s">
        <v>40</v>
      </c>
      <c r="T94" s="3" t="s">
        <v>266</v>
      </c>
      <c r="U94" s="2" t="s">
        <v>42</v>
      </c>
      <c r="V94" s="2" t="s">
        <v>43</v>
      </c>
      <c r="Y94" s="2" t="str">
        <f>VLOOKUP(C94,[1]Cat_Objetos!$C$4:$C$346,1,FALSE)</f>
        <v>Documentación del tamaño de la muestra</v>
      </c>
    </row>
    <row r="95" spans="1:25" ht="29.15" x14ac:dyDescent="0.4">
      <c r="A95" s="4">
        <f t="shared" si="1"/>
        <v>92</v>
      </c>
      <c r="B95" s="2" t="s">
        <v>535</v>
      </c>
      <c r="C95" s="3" t="s">
        <v>536</v>
      </c>
      <c r="E95" s="2" t="s">
        <v>186</v>
      </c>
      <c r="F95" s="2" t="s">
        <v>187</v>
      </c>
      <c r="G95" s="2" t="s">
        <v>491</v>
      </c>
      <c r="H95" s="3" t="s">
        <v>492</v>
      </c>
      <c r="I95" s="2" t="s">
        <v>531</v>
      </c>
      <c r="J95" s="3" t="s">
        <v>532</v>
      </c>
      <c r="K95" s="2" t="s">
        <v>537</v>
      </c>
      <c r="L95" s="3" t="s">
        <v>538</v>
      </c>
      <c r="N95" s="4" t="s">
        <v>38</v>
      </c>
      <c r="O95" s="4" t="s">
        <v>38</v>
      </c>
      <c r="Q95" s="4" t="s">
        <v>311</v>
      </c>
      <c r="R95" s="2" t="s">
        <v>513</v>
      </c>
      <c r="S95" s="2" t="s">
        <v>40</v>
      </c>
      <c r="T95" s="3" t="s">
        <v>299</v>
      </c>
      <c r="U95" s="2" t="s">
        <v>42</v>
      </c>
      <c r="V95" s="2" t="s">
        <v>43</v>
      </c>
      <c r="Y95" s="2" t="str">
        <f>VLOOKUP(C95,[1]Cat_Objetos!$C$4:$C$346,1,FALSE)</f>
        <v>Diseño de algoritmos para selección de la muestra</v>
      </c>
    </row>
    <row r="96" spans="1:25" ht="29.15" x14ac:dyDescent="0.4">
      <c r="A96" s="4">
        <f t="shared" si="1"/>
        <v>93</v>
      </c>
      <c r="B96" s="2" t="s">
        <v>539</v>
      </c>
      <c r="C96" s="3" t="s">
        <v>540</v>
      </c>
      <c r="E96" s="2" t="s">
        <v>186</v>
      </c>
      <c r="F96" s="2" t="s">
        <v>187</v>
      </c>
      <c r="G96" s="2" t="s">
        <v>491</v>
      </c>
      <c r="H96" s="3" t="s">
        <v>492</v>
      </c>
      <c r="I96" s="2" t="s">
        <v>531</v>
      </c>
      <c r="J96" s="3" t="s">
        <v>532</v>
      </c>
      <c r="K96" s="2" t="s">
        <v>537</v>
      </c>
      <c r="L96" s="3" t="s">
        <v>538</v>
      </c>
      <c r="N96" s="4" t="s">
        <v>38</v>
      </c>
      <c r="O96" s="4" t="s">
        <v>38</v>
      </c>
      <c r="Q96" s="4" t="s">
        <v>311</v>
      </c>
      <c r="R96" s="2" t="s">
        <v>541</v>
      </c>
      <c r="S96" s="2" t="s">
        <v>40</v>
      </c>
      <c r="T96" s="3" t="s">
        <v>266</v>
      </c>
      <c r="U96" s="2" t="s">
        <v>42</v>
      </c>
      <c r="V96" s="2" t="s">
        <v>43</v>
      </c>
      <c r="Y96" s="2" t="str">
        <f>VLOOKUP(C96,[1]Cat_Objetos!$C$4:$C$346,1,FALSE)</f>
        <v>Documentación del procedimiento de estratificación</v>
      </c>
    </row>
    <row r="97" spans="1:25" ht="29.15" x14ac:dyDescent="0.4">
      <c r="A97" s="4">
        <f t="shared" si="1"/>
        <v>94</v>
      </c>
      <c r="B97" s="2" t="s">
        <v>542</v>
      </c>
      <c r="C97" s="3" t="s">
        <v>543</v>
      </c>
      <c r="E97" s="2" t="s">
        <v>186</v>
      </c>
      <c r="F97" s="2" t="s">
        <v>187</v>
      </c>
      <c r="G97" s="2" t="s">
        <v>491</v>
      </c>
      <c r="H97" s="3" t="s">
        <v>492</v>
      </c>
      <c r="I97" s="2" t="s">
        <v>531</v>
      </c>
      <c r="J97" s="3" t="s">
        <v>532</v>
      </c>
      <c r="K97" s="2" t="s">
        <v>544</v>
      </c>
      <c r="L97" s="3" t="s">
        <v>545</v>
      </c>
      <c r="N97" s="4" t="s">
        <v>38</v>
      </c>
      <c r="O97" s="4" t="s">
        <v>38</v>
      </c>
      <c r="Q97" s="4" t="s">
        <v>311</v>
      </c>
      <c r="R97" s="2" t="s">
        <v>513</v>
      </c>
      <c r="S97" s="2" t="s">
        <v>40</v>
      </c>
      <c r="T97" s="3" t="s">
        <v>546</v>
      </c>
      <c r="U97" s="2" t="s">
        <v>42</v>
      </c>
      <c r="V97" s="2" t="s">
        <v>43</v>
      </c>
      <c r="Y97" s="2" t="str">
        <f>VLOOKUP(C97,[1]Cat_Objetos!$C$4:$C$346,1,FALSE)</f>
        <v>Muestra seleccionada</v>
      </c>
    </row>
    <row r="98" spans="1:25" ht="29.15" x14ac:dyDescent="0.4">
      <c r="A98" s="4">
        <f t="shared" si="1"/>
        <v>95</v>
      </c>
      <c r="B98" s="2" t="s">
        <v>547</v>
      </c>
      <c r="C98" s="3" t="s">
        <v>548</v>
      </c>
      <c r="D98" s="2" t="s">
        <v>549</v>
      </c>
      <c r="E98" s="2" t="s">
        <v>186</v>
      </c>
      <c r="F98" s="2" t="s">
        <v>187</v>
      </c>
      <c r="G98" s="2" t="s">
        <v>491</v>
      </c>
      <c r="H98" s="3" t="s">
        <v>492</v>
      </c>
      <c r="I98" s="2" t="s">
        <v>550</v>
      </c>
      <c r="J98" s="3" t="s">
        <v>551</v>
      </c>
      <c r="K98" s="2" t="s">
        <v>552</v>
      </c>
      <c r="L98" s="3" t="s">
        <v>553</v>
      </c>
      <c r="N98" s="4" t="s">
        <v>38</v>
      </c>
      <c r="O98" s="4" t="s">
        <v>38</v>
      </c>
      <c r="Q98" s="4" t="s">
        <v>311</v>
      </c>
      <c r="R98" s="2" t="s">
        <v>541</v>
      </c>
      <c r="S98" s="2" t="s">
        <v>40</v>
      </c>
      <c r="T98" s="3" t="s">
        <v>299</v>
      </c>
      <c r="U98" s="2" t="s">
        <v>42</v>
      </c>
      <c r="V98" s="2" t="s">
        <v>43</v>
      </c>
      <c r="Y98" s="2" t="str">
        <f>VLOOKUP(C98,[1]Cat_Objetos!$C$4:$C$346,1,FALSE)</f>
        <v>Diseño de algoritmos para los estimadores, precisiones est. e ind. de precisión</v>
      </c>
    </row>
    <row r="99" spans="1:25" ht="29.15" x14ac:dyDescent="0.4">
      <c r="A99" s="4">
        <f t="shared" si="1"/>
        <v>96</v>
      </c>
      <c r="B99" s="2" t="s">
        <v>554</v>
      </c>
      <c r="C99" s="3" t="s">
        <v>555</v>
      </c>
      <c r="D99" s="2" t="s">
        <v>556</v>
      </c>
      <c r="E99" s="2" t="s">
        <v>186</v>
      </c>
      <c r="F99" s="2" t="s">
        <v>187</v>
      </c>
      <c r="G99" s="2" t="s">
        <v>491</v>
      </c>
      <c r="H99" s="3" t="s">
        <v>492</v>
      </c>
      <c r="I99" s="2" t="s">
        <v>557</v>
      </c>
      <c r="J99" s="3" t="s">
        <v>558</v>
      </c>
      <c r="K99" s="2" t="s">
        <v>559</v>
      </c>
      <c r="L99" s="3" t="s">
        <v>560</v>
      </c>
      <c r="N99" s="4" t="s">
        <v>38</v>
      </c>
      <c r="O99" s="4" t="s">
        <v>38</v>
      </c>
      <c r="Q99" s="4" t="s">
        <v>311</v>
      </c>
      <c r="R99" s="2" t="s">
        <v>519</v>
      </c>
      <c r="S99" s="2" t="s">
        <v>40</v>
      </c>
      <c r="T99" s="3" t="s">
        <v>299</v>
      </c>
      <c r="U99" s="2" t="s">
        <v>42</v>
      </c>
      <c r="V99" s="2" t="s">
        <v>43</v>
      </c>
      <c r="Y99" s="2" t="str">
        <f>VLOOKUP(C99,[1]Cat_Objetos!$C$4:$C$346,1,FALSE)</f>
        <v>Documento del diseño muestral</v>
      </c>
    </row>
    <row r="100" spans="1:25" ht="29.15" x14ac:dyDescent="0.4">
      <c r="A100" s="4">
        <f t="shared" si="1"/>
        <v>97</v>
      </c>
      <c r="B100" s="2" t="s">
        <v>561</v>
      </c>
      <c r="C100" s="7" t="s">
        <v>562</v>
      </c>
      <c r="E100" s="2" t="s">
        <v>186</v>
      </c>
      <c r="F100" s="2" t="s">
        <v>187</v>
      </c>
      <c r="G100" s="2" t="s">
        <v>491</v>
      </c>
      <c r="H100" s="3" t="s">
        <v>492</v>
      </c>
      <c r="I100" s="2" t="s">
        <v>563</v>
      </c>
      <c r="J100" s="3" t="s">
        <v>564</v>
      </c>
      <c r="K100" s="2" t="s">
        <v>565</v>
      </c>
      <c r="L100" s="3" t="s">
        <v>566</v>
      </c>
      <c r="N100" s="4" t="s">
        <v>38</v>
      </c>
      <c r="O100" s="4" t="s">
        <v>311</v>
      </c>
      <c r="Q100" s="4" t="s">
        <v>38</v>
      </c>
      <c r="S100" s="2" t="s">
        <v>40</v>
      </c>
      <c r="T100" s="3" t="s">
        <v>76</v>
      </c>
      <c r="U100" s="2" t="s">
        <v>42</v>
      </c>
      <c r="V100" s="2" t="s">
        <v>43</v>
      </c>
      <c r="Y100" s="2" t="e">
        <f>VLOOKUP(C100,[1]Cat_Objetos!$C$4:$C$346,1,FALSE)</f>
        <v>#N/A</v>
      </c>
    </row>
    <row r="101" spans="1:25" ht="29.15" x14ac:dyDescent="0.4">
      <c r="A101" s="4">
        <f t="shared" si="1"/>
        <v>98</v>
      </c>
      <c r="B101" s="2" t="s">
        <v>567</v>
      </c>
      <c r="C101" s="7" t="s">
        <v>568</v>
      </c>
      <c r="E101" s="2" t="s">
        <v>186</v>
      </c>
      <c r="F101" s="2" t="s">
        <v>187</v>
      </c>
      <c r="G101" s="2" t="s">
        <v>491</v>
      </c>
      <c r="H101" s="3" t="s">
        <v>492</v>
      </c>
      <c r="I101" s="2" t="s">
        <v>563</v>
      </c>
      <c r="J101" s="3" t="s">
        <v>564</v>
      </c>
      <c r="K101" s="2" t="s">
        <v>569</v>
      </c>
      <c r="L101" s="3" t="s">
        <v>570</v>
      </c>
      <c r="N101" s="4" t="s">
        <v>38</v>
      </c>
      <c r="O101" s="4" t="s">
        <v>311</v>
      </c>
      <c r="P101" s="11"/>
      <c r="Q101" s="4" t="s">
        <v>38</v>
      </c>
      <c r="R101" s="12" t="s">
        <v>571</v>
      </c>
      <c r="S101" s="2" t="s">
        <v>40</v>
      </c>
      <c r="T101" s="3" t="s">
        <v>266</v>
      </c>
      <c r="U101" s="2" t="s">
        <v>42</v>
      </c>
      <c r="V101" s="2" t="s">
        <v>43</v>
      </c>
      <c r="Y101" s="2" t="e">
        <f>VLOOKUP(C101,[1]Cat_Objetos!$C$4:$C$346,1,FALSE)</f>
        <v>#N/A</v>
      </c>
    </row>
    <row r="102" spans="1:25" ht="29.15" x14ac:dyDescent="0.4">
      <c r="A102" s="4">
        <f t="shared" si="1"/>
        <v>99</v>
      </c>
      <c r="B102" s="2" t="s">
        <v>572</v>
      </c>
      <c r="C102" s="7" t="s">
        <v>573</v>
      </c>
      <c r="E102" s="2" t="s">
        <v>186</v>
      </c>
      <c r="F102" s="2" t="s">
        <v>187</v>
      </c>
      <c r="G102" s="2" t="s">
        <v>491</v>
      </c>
      <c r="H102" s="3" t="s">
        <v>492</v>
      </c>
      <c r="I102" s="2" t="s">
        <v>563</v>
      </c>
      <c r="J102" s="3" t="s">
        <v>564</v>
      </c>
      <c r="K102" s="2" t="s">
        <v>574</v>
      </c>
      <c r="L102" s="3" t="s">
        <v>575</v>
      </c>
      <c r="N102" s="4" t="s">
        <v>38</v>
      </c>
      <c r="O102" s="4" t="s">
        <v>311</v>
      </c>
      <c r="Q102" s="4" t="s">
        <v>38</v>
      </c>
      <c r="R102" s="2" t="s">
        <v>571</v>
      </c>
      <c r="S102" s="2" t="s">
        <v>40</v>
      </c>
      <c r="T102" s="3" t="s">
        <v>95</v>
      </c>
      <c r="U102" s="2" t="s">
        <v>42</v>
      </c>
      <c r="V102" s="2" t="s">
        <v>43</v>
      </c>
      <c r="Y102" s="2" t="e">
        <f>VLOOKUP(C102,[1]Cat_Objetos!$C$4:$C$346,1,FALSE)</f>
        <v>#N/A</v>
      </c>
    </row>
    <row r="103" spans="1:25" ht="29.15" x14ac:dyDescent="0.4">
      <c r="A103" s="4">
        <f t="shared" si="1"/>
        <v>100</v>
      </c>
      <c r="B103" s="2" t="s">
        <v>576</v>
      </c>
      <c r="C103" s="7" t="s">
        <v>577</v>
      </c>
      <c r="E103" s="2" t="s">
        <v>186</v>
      </c>
      <c r="F103" s="2" t="s">
        <v>187</v>
      </c>
      <c r="G103" s="2" t="s">
        <v>491</v>
      </c>
      <c r="H103" s="3" t="s">
        <v>492</v>
      </c>
      <c r="I103" s="2" t="s">
        <v>563</v>
      </c>
      <c r="J103" s="3" t="s">
        <v>564</v>
      </c>
      <c r="K103" s="2" t="s">
        <v>578</v>
      </c>
      <c r="L103" s="3" t="s">
        <v>579</v>
      </c>
      <c r="N103" s="4" t="s">
        <v>38</v>
      </c>
      <c r="O103" s="4" t="s">
        <v>311</v>
      </c>
      <c r="Q103" s="4" t="s">
        <v>38</v>
      </c>
      <c r="R103" s="2" t="s">
        <v>571</v>
      </c>
      <c r="S103" s="2" t="s">
        <v>40</v>
      </c>
      <c r="T103" s="3" t="s">
        <v>266</v>
      </c>
      <c r="U103" s="2" t="s">
        <v>42</v>
      </c>
      <c r="V103" s="2" t="s">
        <v>43</v>
      </c>
      <c r="Y103" s="2" t="e">
        <f>VLOOKUP(C103,[1]Cat_Objetos!$C$4:$C$346,1,FALSE)</f>
        <v>#N/A</v>
      </c>
    </row>
    <row r="104" spans="1:25" x14ac:dyDescent="0.4">
      <c r="A104" s="4">
        <f t="shared" si="1"/>
        <v>101</v>
      </c>
      <c r="B104" s="2" t="s">
        <v>580</v>
      </c>
      <c r="C104" s="3" t="s">
        <v>581</v>
      </c>
      <c r="D104" s="2" t="s">
        <v>582</v>
      </c>
      <c r="E104" s="2" t="s">
        <v>186</v>
      </c>
      <c r="F104" s="2" t="s">
        <v>187</v>
      </c>
      <c r="G104" s="2" t="s">
        <v>583</v>
      </c>
      <c r="H104" s="3" t="s">
        <v>584</v>
      </c>
      <c r="I104" s="2" t="s">
        <v>585</v>
      </c>
      <c r="J104" s="3" t="s">
        <v>586</v>
      </c>
      <c r="K104" s="2" t="s">
        <v>587</v>
      </c>
      <c r="L104" s="3" t="s">
        <v>588</v>
      </c>
      <c r="N104" s="4" t="s">
        <v>38</v>
      </c>
      <c r="O104" s="4" t="s">
        <v>38</v>
      </c>
      <c r="Q104" s="4" t="s">
        <v>38</v>
      </c>
      <c r="R104" s="2" t="s">
        <v>589</v>
      </c>
      <c r="S104" s="2" t="s">
        <v>40</v>
      </c>
      <c r="T104" s="3" t="s">
        <v>299</v>
      </c>
      <c r="U104" s="2" t="s">
        <v>42</v>
      </c>
      <c r="V104" s="2" t="s">
        <v>43</v>
      </c>
      <c r="Y104" s="2" t="str">
        <f>VLOOKUP(C104,[1]Cat_Objetos!$C$4:$C$346,1,FALSE)</f>
        <v>Diseño de algoritmos para integrar datos</v>
      </c>
    </row>
    <row r="105" spans="1:25" x14ac:dyDescent="0.4">
      <c r="A105" s="4">
        <f t="shared" si="1"/>
        <v>102</v>
      </c>
      <c r="B105" s="2" t="s">
        <v>590</v>
      </c>
      <c r="C105" s="3" t="s">
        <v>591</v>
      </c>
      <c r="D105" s="2" t="s">
        <v>592</v>
      </c>
      <c r="E105" s="2" t="s">
        <v>186</v>
      </c>
      <c r="F105" s="2" t="s">
        <v>187</v>
      </c>
      <c r="G105" s="2" t="s">
        <v>583</v>
      </c>
      <c r="H105" s="3" t="s">
        <v>584</v>
      </c>
      <c r="I105" s="2" t="s">
        <v>585</v>
      </c>
      <c r="J105" s="3" t="s">
        <v>586</v>
      </c>
      <c r="K105" s="2" t="s">
        <v>593</v>
      </c>
      <c r="L105" s="3" t="s">
        <v>594</v>
      </c>
      <c r="N105" s="4" t="s">
        <v>38</v>
      </c>
      <c r="O105" s="4" t="s">
        <v>38</v>
      </c>
      <c r="Q105" s="4" t="s">
        <v>38</v>
      </c>
      <c r="R105" s="2" t="s">
        <v>595</v>
      </c>
      <c r="S105" s="2" t="s">
        <v>40</v>
      </c>
      <c r="T105" s="3" t="s">
        <v>299</v>
      </c>
      <c r="U105" s="2" t="s">
        <v>42</v>
      </c>
      <c r="V105" s="2" t="s">
        <v>43</v>
      </c>
      <c r="Y105" s="2" t="str">
        <f>VLOOKUP(C105,[1]Cat_Objetos!$C$4:$C$346,1,FALSE)</f>
        <v>Diseño de algoritmos para la codificación de datos </v>
      </c>
    </row>
    <row r="106" spans="1:25" x14ac:dyDescent="0.4">
      <c r="A106" s="4">
        <f t="shared" si="1"/>
        <v>103</v>
      </c>
      <c r="B106" s="2" t="s">
        <v>596</v>
      </c>
      <c r="C106" s="3" t="s">
        <v>597</v>
      </c>
      <c r="E106" s="2" t="s">
        <v>186</v>
      </c>
      <c r="F106" s="2" t="s">
        <v>187</v>
      </c>
      <c r="G106" s="2" t="s">
        <v>583</v>
      </c>
      <c r="H106" s="3" t="s">
        <v>584</v>
      </c>
      <c r="I106" s="2" t="s">
        <v>585</v>
      </c>
      <c r="J106" s="3" t="s">
        <v>586</v>
      </c>
      <c r="K106" s="2" t="s">
        <v>593</v>
      </c>
      <c r="L106" s="3" t="s">
        <v>594</v>
      </c>
      <c r="N106" s="4" t="s">
        <v>38</v>
      </c>
      <c r="O106" s="4" t="s">
        <v>38</v>
      </c>
      <c r="Q106" s="4" t="s">
        <v>38</v>
      </c>
      <c r="R106" s="2" t="s">
        <v>598</v>
      </c>
      <c r="S106" s="2" t="s">
        <v>40</v>
      </c>
      <c r="T106" s="3" t="s">
        <v>272</v>
      </c>
      <c r="U106" s="2" t="s">
        <v>42</v>
      </c>
      <c r="V106" s="2" t="s">
        <v>273</v>
      </c>
      <c r="Y106" s="2" t="str">
        <f>VLOOKUP(C106,[1]Cat_Objetos!$C$4:$C$346,1,FALSE)</f>
        <v>Modelo de base de datos de codificación</v>
      </c>
    </row>
    <row r="107" spans="1:25" x14ac:dyDescent="0.4">
      <c r="A107" s="4">
        <f t="shared" si="1"/>
        <v>104</v>
      </c>
      <c r="B107" s="2" t="s">
        <v>599</v>
      </c>
      <c r="C107" s="3" t="s">
        <v>600</v>
      </c>
      <c r="D107" s="2" t="s">
        <v>601</v>
      </c>
      <c r="E107" s="2" t="s">
        <v>186</v>
      </c>
      <c r="F107" s="2" t="s">
        <v>187</v>
      </c>
      <c r="G107" s="2" t="s">
        <v>583</v>
      </c>
      <c r="H107" s="3" t="s">
        <v>584</v>
      </c>
      <c r="I107" s="2" t="s">
        <v>585</v>
      </c>
      <c r="J107" s="3" t="s">
        <v>586</v>
      </c>
      <c r="K107" s="2" t="s">
        <v>602</v>
      </c>
      <c r="L107" s="3" t="s">
        <v>603</v>
      </c>
      <c r="N107" s="4" t="s">
        <v>38</v>
      </c>
      <c r="O107" s="4" t="s">
        <v>38</v>
      </c>
      <c r="Q107" s="4" t="s">
        <v>311</v>
      </c>
      <c r="R107" s="2" t="s">
        <v>604</v>
      </c>
      <c r="S107" s="2" t="s">
        <v>40</v>
      </c>
      <c r="T107" s="3" t="s">
        <v>299</v>
      </c>
      <c r="U107" s="2" t="s">
        <v>42</v>
      </c>
      <c r="V107" s="2" t="s">
        <v>43</v>
      </c>
      <c r="Y107" s="2" t="str">
        <f>VLOOKUP(C107,[1]Cat_Objetos!$C$4:$C$346,1,FALSE)</f>
        <v>Diseño de algoritmos para el cálculo y calibración de ponderadores</v>
      </c>
    </row>
    <row r="108" spans="1:25" x14ac:dyDescent="0.4">
      <c r="A108" s="4">
        <f t="shared" si="1"/>
        <v>105</v>
      </c>
      <c r="B108" s="2" t="s">
        <v>605</v>
      </c>
      <c r="C108" s="3" t="s">
        <v>606</v>
      </c>
      <c r="D108" s="2" t="s">
        <v>607</v>
      </c>
      <c r="E108" s="2" t="s">
        <v>186</v>
      </c>
      <c r="F108" s="2" t="s">
        <v>187</v>
      </c>
      <c r="G108" s="2" t="s">
        <v>583</v>
      </c>
      <c r="H108" s="3" t="s">
        <v>584</v>
      </c>
      <c r="I108" s="2" t="s">
        <v>585</v>
      </c>
      <c r="J108" s="3" t="s">
        <v>586</v>
      </c>
      <c r="K108" s="2" t="s">
        <v>608</v>
      </c>
      <c r="L108" s="3" t="s">
        <v>609</v>
      </c>
      <c r="N108" s="4" t="s">
        <v>38</v>
      </c>
      <c r="O108" s="4" t="s">
        <v>38</v>
      </c>
      <c r="Q108" s="4" t="s">
        <v>38</v>
      </c>
      <c r="R108" s="2" t="s">
        <v>610</v>
      </c>
      <c r="S108" s="2" t="s">
        <v>40</v>
      </c>
      <c r="T108" s="3" t="s">
        <v>299</v>
      </c>
      <c r="U108" s="2" t="s">
        <v>42</v>
      </c>
      <c r="V108" s="2" t="s">
        <v>43</v>
      </c>
      <c r="Y108" s="2" t="str">
        <f>VLOOKUP(C108,[1]Cat_Objetos!$C$4:$C$346,1,FALSE)</f>
        <v>Diseño de algoritmos para la validación</v>
      </c>
    </row>
    <row r="109" spans="1:25" x14ac:dyDescent="0.4">
      <c r="A109" s="4">
        <f t="shared" si="1"/>
        <v>106</v>
      </c>
      <c r="B109" s="2" t="s">
        <v>611</v>
      </c>
      <c r="C109" s="3" t="s">
        <v>612</v>
      </c>
      <c r="E109" s="2" t="s">
        <v>186</v>
      </c>
      <c r="F109" s="2" t="s">
        <v>187</v>
      </c>
      <c r="G109" s="2" t="s">
        <v>583</v>
      </c>
      <c r="H109" s="3" t="s">
        <v>584</v>
      </c>
      <c r="I109" s="2" t="s">
        <v>585</v>
      </c>
      <c r="J109" s="3" t="s">
        <v>586</v>
      </c>
      <c r="K109" s="2" t="s">
        <v>608</v>
      </c>
      <c r="L109" s="3" t="s">
        <v>609</v>
      </c>
      <c r="N109" s="4" t="s">
        <v>38</v>
      </c>
      <c r="O109" s="4" t="s">
        <v>311</v>
      </c>
      <c r="Q109" s="4" t="s">
        <v>311</v>
      </c>
      <c r="R109" s="2" t="s">
        <v>598</v>
      </c>
      <c r="S109" s="2" t="s">
        <v>40</v>
      </c>
      <c r="T109" s="3" t="s">
        <v>272</v>
      </c>
      <c r="U109" s="2" t="s">
        <v>42</v>
      </c>
      <c r="V109" s="2" t="s">
        <v>273</v>
      </c>
      <c r="Y109" s="2" t="str">
        <f>VLOOKUP(C109,[1]Cat_Objetos!$C$4:$C$346,1,FALSE)</f>
        <v>Modelo de base de datos de validación</v>
      </c>
    </row>
    <row r="110" spans="1:25" x14ac:dyDescent="0.4">
      <c r="A110" s="4">
        <f t="shared" si="1"/>
        <v>107</v>
      </c>
      <c r="B110" s="2" t="s">
        <v>613</v>
      </c>
      <c r="C110" s="3" t="s">
        <v>614</v>
      </c>
      <c r="D110" s="2" t="s">
        <v>615</v>
      </c>
      <c r="E110" s="2" t="s">
        <v>186</v>
      </c>
      <c r="F110" s="2" t="s">
        <v>187</v>
      </c>
      <c r="G110" s="2" t="s">
        <v>583</v>
      </c>
      <c r="H110" s="3" t="s">
        <v>584</v>
      </c>
      <c r="I110" s="2" t="s">
        <v>585</v>
      </c>
      <c r="J110" s="3" t="s">
        <v>586</v>
      </c>
      <c r="K110" s="2" t="s">
        <v>616</v>
      </c>
      <c r="L110" s="3" t="s">
        <v>617</v>
      </c>
      <c r="N110" s="4" t="s">
        <v>38</v>
      </c>
      <c r="O110" s="4" t="s">
        <v>38</v>
      </c>
      <c r="Q110" s="4" t="s">
        <v>38</v>
      </c>
      <c r="R110" s="2" t="s">
        <v>618</v>
      </c>
      <c r="S110" s="2" t="s">
        <v>40</v>
      </c>
      <c r="T110" s="3" t="s">
        <v>299</v>
      </c>
      <c r="U110" s="2" t="s">
        <v>42</v>
      </c>
      <c r="V110" s="2" t="s">
        <v>43</v>
      </c>
      <c r="Y110" s="2" t="str">
        <f>VLOOKUP(C110,[1]Cat_Objetos!$C$4:$C$346,1,FALSE)</f>
        <v>Diseño de algoritmos para la edición e imputación de datos</v>
      </c>
    </row>
    <row r="111" spans="1:25" x14ac:dyDescent="0.4">
      <c r="A111" s="4">
        <f t="shared" si="1"/>
        <v>108</v>
      </c>
      <c r="B111" s="2" t="s">
        <v>619</v>
      </c>
      <c r="C111" s="3" t="s">
        <v>620</v>
      </c>
      <c r="E111" s="2" t="s">
        <v>186</v>
      </c>
      <c r="F111" s="2" t="s">
        <v>187</v>
      </c>
      <c r="G111" s="2" t="s">
        <v>583</v>
      </c>
      <c r="H111" s="3" t="s">
        <v>584</v>
      </c>
      <c r="I111" s="2" t="s">
        <v>585</v>
      </c>
      <c r="J111" s="3" t="s">
        <v>586</v>
      </c>
      <c r="K111" s="2" t="s">
        <v>616</v>
      </c>
      <c r="L111" s="3" t="s">
        <v>617</v>
      </c>
      <c r="N111" s="4" t="s">
        <v>38</v>
      </c>
      <c r="O111" s="4" t="s">
        <v>311</v>
      </c>
      <c r="Q111" s="4" t="s">
        <v>311</v>
      </c>
      <c r="R111" s="2" t="s">
        <v>598</v>
      </c>
      <c r="S111" s="2" t="s">
        <v>40</v>
      </c>
      <c r="T111" s="3" t="s">
        <v>272</v>
      </c>
      <c r="U111" s="2" t="s">
        <v>42</v>
      </c>
      <c r="V111" s="2" t="s">
        <v>273</v>
      </c>
      <c r="Y111" s="2" t="str">
        <f>VLOOKUP(C111,[1]Cat_Objetos!$C$4:$C$346,1,FALSE)</f>
        <v>Modelo de base de datos de edición e imputación</v>
      </c>
    </row>
    <row r="112" spans="1:25" x14ac:dyDescent="0.4">
      <c r="A112" s="4">
        <f t="shared" si="1"/>
        <v>109</v>
      </c>
      <c r="B112" s="2" t="s">
        <v>621</v>
      </c>
      <c r="C112" s="3" t="s">
        <v>622</v>
      </c>
      <c r="D112" s="2" t="s">
        <v>623</v>
      </c>
      <c r="E112" s="2" t="s">
        <v>186</v>
      </c>
      <c r="F112" s="2" t="s">
        <v>187</v>
      </c>
      <c r="G112" s="2" t="s">
        <v>583</v>
      </c>
      <c r="H112" s="3" t="s">
        <v>584</v>
      </c>
      <c r="I112" s="2" t="s">
        <v>585</v>
      </c>
      <c r="J112" s="3" t="s">
        <v>586</v>
      </c>
      <c r="K112" s="2" t="s">
        <v>624</v>
      </c>
      <c r="L112" s="3" t="s">
        <v>625</v>
      </c>
      <c r="N112" s="4" t="s">
        <v>38</v>
      </c>
      <c r="O112" s="4" t="s">
        <v>38</v>
      </c>
      <c r="Q112" s="4" t="s">
        <v>38</v>
      </c>
      <c r="R112" s="2" t="s">
        <v>626</v>
      </c>
      <c r="S112" s="2" t="s">
        <v>40</v>
      </c>
      <c r="T112" s="3" t="s">
        <v>299</v>
      </c>
      <c r="U112" s="2" t="s">
        <v>42</v>
      </c>
      <c r="V112" s="2" t="s">
        <v>43</v>
      </c>
      <c r="Y112" s="2" t="str">
        <f>VLOOKUP(C112,[1]Cat_Objetos!$C$4:$C$346,1,FALSE)</f>
        <v>Diseño de algoritmos para la creación de nuevas variables o unidades</v>
      </c>
    </row>
    <row r="113" spans="1:25" x14ac:dyDescent="0.4">
      <c r="A113" s="4">
        <f t="shared" si="1"/>
        <v>110</v>
      </c>
      <c r="B113" s="2" t="s">
        <v>627</v>
      </c>
      <c r="C113" s="3" t="s">
        <v>628</v>
      </c>
      <c r="E113" s="2" t="s">
        <v>186</v>
      </c>
      <c r="F113" s="2" t="s">
        <v>187</v>
      </c>
      <c r="G113" s="2" t="s">
        <v>583</v>
      </c>
      <c r="H113" s="3" t="s">
        <v>584</v>
      </c>
      <c r="I113" s="2" t="s">
        <v>585</v>
      </c>
      <c r="J113" s="3" t="s">
        <v>586</v>
      </c>
      <c r="K113" s="2" t="s">
        <v>624</v>
      </c>
      <c r="L113" s="3" t="s">
        <v>625</v>
      </c>
      <c r="N113" s="4" t="s">
        <v>38</v>
      </c>
      <c r="O113" s="4" t="s">
        <v>38</v>
      </c>
      <c r="Q113" s="4" t="s">
        <v>38</v>
      </c>
      <c r="R113" s="2" t="s">
        <v>629</v>
      </c>
      <c r="S113" s="2" t="s">
        <v>40</v>
      </c>
      <c r="T113" s="3" t="s">
        <v>272</v>
      </c>
      <c r="U113" s="2" t="s">
        <v>42</v>
      </c>
      <c r="V113" s="2" t="s">
        <v>273</v>
      </c>
      <c r="Y113" s="2" t="str">
        <f>VLOOKUP(C113,[1]Cat_Objetos!$C$4:$C$346,1,FALSE)</f>
        <v>Modelo de base de datos del procesamiento</v>
      </c>
    </row>
    <row r="114" spans="1:25" ht="29.15" x14ac:dyDescent="0.4">
      <c r="A114" s="4">
        <f t="shared" si="1"/>
        <v>111</v>
      </c>
      <c r="B114" s="2" t="s">
        <v>630</v>
      </c>
      <c r="C114" s="3" t="s">
        <v>631</v>
      </c>
      <c r="D114" s="2" t="s">
        <v>632</v>
      </c>
      <c r="E114" s="2" t="s">
        <v>186</v>
      </c>
      <c r="F114" s="2" t="s">
        <v>187</v>
      </c>
      <c r="G114" s="2" t="s">
        <v>583</v>
      </c>
      <c r="H114" s="3" t="s">
        <v>584</v>
      </c>
      <c r="I114" s="2" t="s">
        <v>585</v>
      </c>
      <c r="J114" s="3" t="s">
        <v>586</v>
      </c>
      <c r="K114" s="2" t="s">
        <v>633</v>
      </c>
      <c r="L114" s="3" t="s">
        <v>634</v>
      </c>
      <c r="N114" s="4" t="s">
        <v>38</v>
      </c>
      <c r="O114" s="4" t="s">
        <v>38</v>
      </c>
      <c r="Q114" s="4" t="s">
        <v>38</v>
      </c>
      <c r="R114" s="2" t="s">
        <v>635</v>
      </c>
      <c r="S114" s="2" t="s">
        <v>40</v>
      </c>
      <c r="T114" s="3" t="s">
        <v>299</v>
      </c>
      <c r="U114" s="2" t="s">
        <v>42</v>
      </c>
      <c r="V114" s="2" t="s">
        <v>43</v>
      </c>
      <c r="Y114" s="2" t="str">
        <f>VLOOKUP(C114,[1]Cat_Objetos!$C$4:$C$346,1,FALSE)</f>
        <v>Diseño de algoritmos para cálculo de agregaciones y medidas estadísticas</v>
      </c>
    </row>
    <row r="115" spans="1:25" ht="29.15" x14ac:dyDescent="0.4">
      <c r="A115" s="4">
        <f t="shared" si="1"/>
        <v>112</v>
      </c>
      <c r="B115" s="2" t="s">
        <v>636</v>
      </c>
      <c r="C115" s="3" t="s">
        <v>637</v>
      </c>
      <c r="E115" s="2" t="s">
        <v>186</v>
      </c>
      <c r="F115" s="2" t="s">
        <v>187</v>
      </c>
      <c r="G115" s="2" t="s">
        <v>583</v>
      </c>
      <c r="H115" s="3" t="s">
        <v>584</v>
      </c>
      <c r="I115" s="2" t="s">
        <v>585</v>
      </c>
      <c r="J115" s="3" t="s">
        <v>586</v>
      </c>
      <c r="K115" s="2" t="s">
        <v>638</v>
      </c>
      <c r="L115" s="3" t="s">
        <v>639</v>
      </c>
      <c r="N115" s="4" t="s">
        <v>38</v>
      </c>
      <c r="O115" s="4" t="s">
        <v>38</v>
      </c>
      <c r="Q115" s="4" t="s">
        <v>38</v>
      </c>
      <c r="R115" s="2" t="s">
        <v>640</v>
      </c>
      <c r="S115" s="2" t="s">
        <v>40</v>
      </c>
      <c r="T115" s="3" t="s">
        <v>299</v>
      </c>
      <c r="U115" s="2" t="s">
        <v>42</v>
      </c>
      <c r="V115" s="2" t="s">
        <v>43</v>
      </c>
      <c r="Y115" s="2" t="str">
        <f>VLOOKUP(C115,[1]Cat_Objetos!$C$4:$C$346,1,FALSE)</f>
        <v>Documento de metodología y algoritmos para finalizar el procesamiento y análisis de resultados</v>
      </c>
    </row>
    <row r="116" spans="1:25" x14ac:dyDescent="0.4">
      <c r="A116" s="4">
        <f t="shared" si="1"/>
        <v>113</v>
      </c>
      <c r="B116" s="2" t="s">
        <v>641</v>
      </c>
      <c r="C116" s="3" t="s">
        <v>642</v>
      </c>
      <c r="E116" s="2" t="s">
        <v>186</v>
      </c>
      <c r="F116" s="2" t="s">
        <v>187</v>
      </c>
      <c r="G116" s="2" t="s">
        <v>583</v>
      </c>
      <c r="H116" s="3" t="s">
        <v>584</v>
      </c>
      <c r="I116" s="2" t="s">
        <v>585</v>
      </c>
      <c r="J116" s="3" t="s">
        <v>586</v>
      </c>
      <c r="K116" s="2" t="s">
        <v>643</v>
      </c>
      <c r="L116" s="3" t="s">
        <v>644</v>
      </c>
      <c r="N116" s="4" t="s">
        <v>38</v>
      </c>
      <c r="O116" s="4" t="s">
        <v>311</v>
      </c>
      <c r="Q116" s="4" t="s">
        <v>311</v>
      </c>
      <c r="R116" s="2" t="s">
        <v>598</v>
      </c>
      <c r="S116" s="2" t="s">
        <v>40</v>
      </c>
      <c r="T116" s="3" t="s">
        <v>95</v>
      </c>
      <c r="U116" s="2" t="s">
        <v>42</v>
      </c>
      <c r="V116" s="2" t="s">
        <v>43</v>
      </c>
      <c r="Y116" s="2" t="str">
        <f>VLOOKUP(C116,[1]Cat_Objetos!$C$4:$C$346,1,FALSE)</f>
        <v>Cronograma para la codificación</v>
      </c>
    </row>
    <row r="117" spans="1:25" x14ac:dyDescent="0.4">
      <c r="A117" s="4">
        <f t="shared" si="1"/>
        <v>114</v>
      </c>
      <c r="B117" s="2" t="s">
        <v>645</v>
      </c>
      <c r="C117" s="3" t="s">
        <v>646</v>
      </c>
      <c r="E117" s="2" t="s">
        <v>186</v>
      </c>
      <c r="F117" s="2" t="s">
        <v>187</v>
      </c>
      <c r="G117" s="2" t="s">
        <v>583</v>
      </c>
      <c r="H117" s="3" t="s">
        <v>584</v>
      </c>
      <c r="I117" s="2" t="s">
        <v>585</v>
      </c>
      <c r="J117" s="3" t="s">
        <v>586</v>
      </c>
      <c r="K117" s="2" t="s">
        <v>643</v>
      </c>
      <c r="L117" s="3" t="s">
        <v>644</v>
      </c>
      <c r="N117" s="4" t="s">
        <v>38</v>
      </c>
      <c r="O117" s="4" t="s">
        <v>311</v>
      </c>
      <c r="Q117" s="4" t="s">
        <v>311</v>
      </c>
      <c r="S117" s="2" t="s">
        <v>40</v>
      </c>
      <c r="T117" s="3" t="s">
        <v>95</v>
      </c>
      <c r="U117" s="2" t="s">
        <v>42</v>
      </c>
      <c r="V117" s="2" t="s">
        <v>43</v>
      </c>
      <c r="Y117" s="2" t="str">
        <f>VLOOKUP(C117,[1]Cat_Objetos!$C$4:$C$346,1,FALSE)</f>
        <v>Plantilla del personal y roles requeridos para la codificación</v>
      </c>
    </row>
    <row r="118" spans="1:25" x14ac:dyDescent="0.4">
      <c r="A118" s="4">
        <f t="shared" si="1"/>
        <v>115</v>
      </c>
      <c r="B118" s="2" t="s">
        <v>647</v>
      </c>
      <c r="C118" s="3" t="s">
        <v>648</v>
      </c>
      <c r="E118" s="2" t="s">
        <v>186</v>
      </c>
      <c r="F118" s="2" t="s">
        <v>187</v>
      </c>
      <c r="G118" s="2" t="s">
        <v>583</v>
      </c>
      <c r="H118" s="3" t="s">
        <v>584</v>
      </c>
      <c r="I118" s="2" t="s">
        <v>585</v>
      </c>
      <c r="J118" s="3" t="s">
        <v>586</v>
      </c>
      <c r="K118" s="2" t="s">
        <v>643</v>
      </c>
      <c r="L118" s="3" t="s">
        <v>644</v>
      </c>
      <c r="N118" s="4" t="s">
        <v>38</v>
      </c>
      <c r="O118" s="4" t="s">
        <v>311</v>
      </c>
      <c r="Q118" s="4" t="s">
        <v>311</v>
      </c>
      <c r="R118" s="2" t="s">
        <v>595</v>
      </c>
      <c r="S118" s="2" t="s">
        <v>40</v>
      </c>
      <c r="T118" s="3" t="s">
        <v>299</v>
      </c>
      <c r="U118" s="2" t="s">
        <v>42</v>
      </c>
      <c r="V118" s="2" t="s">
        <v>43</v>
      </c>
      <c r="Y118" s="2" t="str">
        <f>VLOOKUP(C118,[1]Cat_Objetos!$C$4:$C$346,1,FALSE)</f>
        <v>Estrategia de la codificación</v>
      </c>
    </row>
    <row r="119" spans="1:25" x14ac:dyDescent="0.4">
      <c r="A119" s="4">
        <f t="shared" si="1"/>
        <v>116</v>
      </c>
      <c r="B119" s="2" t="s">
        <v>649</v>
      </c>
      <c r="C119" s="3" t="s">
        <v>650</v>
      </c>
      <c r="E119" s="2" t="s">
        <v>186</v>
      </c>
      <c r="F119" s="2" t="s">
        <v>187</v>
      </c>
      <c r="G119" s="2" t="s">
        <v>583</v>
      </c>
      <c r="H119" s="3" t="s">
        <v>584</v>
      </c>
      <c r="I119" s="2" t="s">
        <v>585</v>
      </c>
      <c r="J119" s="3" t="s">
        <v>586</v>
      </c>
      <c r="K119" s="2" t="s">
        <v>651</v>
      </c>
      <c r="L119" s="3" t="s">
        <v>652</v>
      </c>
      <c r="N119" s="4" t="s">
        <v>38</v>
      </c>
      <c r="O119" s="4" t="s">
        <v>311</v>
      </c>
      <c r="Q119" s="4" t="s">
        <v>311</v>
      </c>
      <c r="R119" s="2" t="s">
        <v>653</v>
      </c>
      <c r="S119" s="2" t="s">
        <v>40</v>
      </c>
      <c r="T119" s="3" t="s">
        <v>299</v>
      </c>
      <c r="U119" s="2" t="s">
        <v>42</v>
      </c>
      <c r="V119" s="2" t="s">
        <v>43</v>
      </c>
      <c r="Y119" s="2" t="str">
        <f>VLOOKUP(C119,[1]Cat_Objetos!$C$4:$C$346,1,FALSE)</f>
        <v>Manuales para la codificación de los datos</v>
      </c>
    </row>
    <row r="120" spans="1:25" x14ac:dyDescent="0.4">
      <c r="A120" s="4">
        <f t="shared" si="1"/>
        <v>117</v>
      </c>
      <c r="B120" s="2" t="s">
        <v>654</v>
      </c>
      <c r="C120" s="3" t="s">
        <v>655</v>
      </c>
      <c r="E120" s="2" t="s">
        <v>186</v>
      </c>
      <c r="F120" s="2" t="s">
        <v>187</v>
      </c>
      <c r="G120" s="2" t="s">
        <v>583</v>
      </c>
      <c r="H120" s="3" t="s">
        <v>584</v>
      </c>
      <c r="I120" s="2" t="s">
        <v>585</v>
      </c>
      <c r="J120" s="3" t="s">
        <v>586</v>
      </c>
      <c r="K120" s="2" t="s">
        <v>651</v>
      </c>
      <c r="L120" s="3" t="s">
        <v>652</v>
      </c>
      <c r="N120" s="4" t="s">
        <v>38</v>
      </c>
      <c r="O120" s="4" t="s">
        <v>311</v>
      </c>
      <c r="Q120" s="4" t="s">
        <v>311</v>
      </c>
      <c r="S120" s="2" t="s">
        <v>40</v>
      </c>
      <c r="T120" s="3" t="s">
        <v>95</v>
      </c>
      <c r="U120" s="2" t="s">
        <v>42</v>
      </c>
      <c r="V120" s="2" t="s">
        <v>43</v>
      </c>
      <c r="Y120" s="2" t="str">
        <f>VLOOKUP(C120,[1]Cat_Objetos!$C$4:$C$346,1,FALSE)</f>
        <v>Material de capacitación para la codificación</v>
      </c>
    </row>
    <row r="121" spans="1:25" x14ac:dyDescent="0.4">
      <c r="A121" s="4">
        <f t="shared" si="1"/>
        <v>118</v>
      </c>
      <c r="B121" s="2" t="s">
        <v>656</v>
      </c>
      <c r="C121" s="3" t="s">
        <v>657</v>
      </c>
      <c r="E121" s="2" t="s">
        <v>186</v>
      </c>
      <c r="F121" s="2" t="s">
        <v>187</v>
      </c>
      <c r="G121" s="2" t="s">
        <v>583</v>
      </c>
      <c r="H121" s="3" t="s">
        <v>584</v>
      </c>
      <c r="I121" s="2" t="s">
        <v>585</v>
      </c>
      <c r="J121" s="3" t="s">
        <v>586</v>
      </c>
      <c r="K121" s="2" t="s">
        <v>658</v>
      </c>
      <c r="L121" s="3" t="s">
        <v>659</v>
      </c>
      <c r="N121" s="4" t="s">
        <v>38</v>
      </c>
      <c r="O121" s="4" t="s">
        <v>311</v>
      </c>
      <c r="Q121" s="4" t="s">
        <v>311</v>
      </c>
      <c r="S121" s="2" t="s">
        <v>40</v>
      </c>
      <c r="T121" s="3" t="s">
        <v>299</v>
      </c>
      <c r="U121" s="2" t="s">
        <v>42</v>
      </c>
      <c r="V121" s="2" t="s">
        <v>43</v>
      </c>
      <c r="Y121" s="2" t="str">
        <f>VLOOKUP(C121,[1]Cat_Objetos!$C$4:$C$346,1,FALSE)</f>
        <v>Diseño de la evaluación para la codificación</v>
      </c>
    </row>
    <row r="122" spans="1:25" x14ac:dyDescent="0.4">
      <c r="A122" s="4">
        <f t="shared" si="1"/>
        <v>119</v>
      </c>
      <c r="B122" s="2" t="s">
        <v>660</v>
      </c>
      <c r="C122" s="3" t="s">
        <v>661</v>
      </c>
      <c r="E122" s="2" t="s">
        <v>186</v>
      </c>
      <c r="F122" s="2" t="s">
        <v>187</v>
      </c>
      <c r="G122" s="2" t="s">
        <v>583</v>
      </c>
      <c r="H122" s="3" t="s">
        <v>584</v>
      </c>
      <c r="I122" s="2" t="s">
        <v>585</v>
      </c>
      <c r="J122" s="3" t="s">
        <v>586</v>
      </c>
      <c r="K122" s="2" t="s">
        <v>662</v>
      </c>
      <c r="L122" s="3" t="s">
        <v>663</v>
      </c>
      <c r="N122" s="4" t="s">
        <v>38</v>
      </c>
      <c r="O122" s="4" t="s">
        <v>311</v>
      </c>
      <c r="Q122" s="4" t="s">
        <v>311</v>
      </c>
      <c r="S122" s="2" t="s">
        <v>40</v>
      </c>
      <c r="T122" s="3" t="s">
        <v>299</v>
      </c>
      <c r="U122" s="2" t="s">
        <v>42</v>
      </c>
      <c r="V122" s="2" t="s">
        <v>43</v>
      </c>
      <c r="Y122" s="2" t="str">
        <f>VLOOKUP(C122,[1]Cat_Objetos!$C$4:$C$346,1,FALSE)</f>
        <v>Estrategia de la validación</v>
      </c>
    </row>
    <row r="123" spans="1:25" x14ac:dyDescent="0.4">
      <c r="A123" s="4">
        <f t="shared" si="1"/>
        <v>120</v>
      </c>
      <c r="B123" s="2" t="s">
        <v>664</v>
      </c>
      <c r="C123" s="3" t="s">
        <v>665</v>
      </c>
      <c r="E123" s="2" t="s">
        <v>186</v>
      </c>
      <c r="F123" s="2" t="s">
        <v>187</v>
      </c>
      <c r="G123" s="2" t="s">
        <v>583</v>
      </c>
      <c r="H123" s="3" t="s">
        <v>584</v>
      </c>
      <c r="I123" s="2" t="s">
        <v>585</v>
      </c>
      <c r="J123" s="3" t="s">
        <v>586</v>
      </c>
      <c r="K123" s="2" t="s">
        <v>662</v>
      </c>
      <c r="L123" s="3" t="s">
        <v>663</v>
      </c>
      <c r="N123" s="4" t="s">
        <v>38</v>
      </c>
      <c r="O123" s="4" t="s">
        <v>311</v>
      </c>
      <c r="Q123" s="4" t="s">
        <v>311</v>
      </c>
      <c r="S123" s="2" t="s">
        <v>40</v>
      </c>
      <c r="T123" s="3" t="s">
        <v>95</v>
      </c>
      <c r="U123" s="2" t="s">
        <v>42</v>
      </c>
      <c r="V123" s="2" t="s">
        <v>43</v>
      </c>
      <c r="Y123" s="2" t="str">
        <f>VLOOKUP(C123,[1]Cat_Objetos!$C$4:$C$346,1,FALSE)</f>
        <v>Cronograma para la validación</v>
      </c>
    </row>
    <row r="124" spans="1:25" x14ac:dyDescent="0.4">
      <c r="A124" s="4">
        <f t="shared" si="1"/>
        <v>121</v>
      </c>
      <c r="B124" s="2" t="s">
        <v>666</v>
      </c>
      <c r="C124" s="3" t="s">
        <v>667</v>
      </c>
      <c r="E124" s="2" t="s">
        <v>186</v>
      </c>
      <c r="F124" s="2" t="s">
        <v>187</v>
      </c>
      <c r="G124" s="2" t="s">
        <v>583</v>
      </c>
      <c r="H124" s="3" t="s">
        <v>584</v>
      </c>
      <c r="I124" s="2" t="s">
        <v>585</v>
      </c>
      <c r="J124" s="3" t="s">
        <v>586</v>
      </c>
      <c r="K124" s="2" t="s">
        <v>662</v>
      </c>
      <c r="L124" s="3" t="s">
        <v>663</v>
      </c>
      <c r="N124" s="4" t="s">
        <v>38</v>
      </c>
      <c r="O124" s="4" t="s">
        <v>311</v>
      </c>
      <c r="Q124" s="4" t="s">
        <v>311</v>
      </c>
      <c r="S124" s="2" t="s">
        <v>40</v>
      </c>
      <c r="T124" s="3" t="s">
        <v>95</v>
      </c>
      <c r="U124" s="2" t="s">
        <v>42</v>
      </c>
      <c r="V124" s="2" t="s">
        <v>43</v>
      </c>
      <c r="Y124" s="2" t="str">
        <f>VLOOKUP(C124,[1]Cat_Objetos!$C$4:$C$346,1,FALSE)</f>
        <v>Plantilla del personal y roles requeridos para la validación</v>
      </c>
    </row>
    <row r="125" spans="1:25" x14ac:dyDescent="0.4">
      <c r="A125" s="4">
        <f t="shared" si="1"/>
        <v>122</v>
      </c>
      <c r="B125" s="2" t="s">
        <v>668</v>
      </c>
      <c r="C125" s="3" t="s">
        <v>669</v>
      </c>
      <c r="E125" s="2" t="s">
        <v>186</v>
      </c>
      <c r="F125" s="2" t="s">
        <v>187</v>
      </c>
      <c r="G125" s="2" t="s">
        <v>583</v>
      </c>
      <c r="H125" s="3" t="s">
        <v>584</v>
      </c>
      <c r="I125" s="2" t="s">
        <v>585</v>
      </c>
      <c r="J125" s="3" t="s">
        <v>586</v>
      </c>
      <c r="K125" s="2" t="s">
        <v>670</v>
      </c>
      <c r="L125" s="3" t="s">
        <v>671</v>
      </c>
      <c r="N125" s="4" t="s">
        <v>38</v>
      </c>
      <c r="O125" s="4" t="s">
        <v>311</v>
      </c>
      <c r="Q125" s="4" t="s">
        <v>311</v>
      </c>
      <c r="S125" s="2" t="s">
        <v>40</v>
      </c>
      <c r="T125" s="3" t="s">
        <v>299</v>
      </c>
      <c r="U125" s="2" t="s">
        <v>42</v>
      </c>
      <c r="V125" s="2" t="s">
        <v>43</v>
      </c>
      <c r="Y125" s="2" t="str">
        <f>VLOOKUP(C125,[1]Cat_Objetos!$C$4:$C$346,1,FALSE)</f>
        <v>Manuales para la validación automática y validación manual</v>
      </c>
    </row>
    <row r="126" spans="1:25" x14ac:dyDescent="0.4">
      <c r="A126" s="4">
        <f t="shared" si="1"/>
        <v>123</v>
      </c>
      <c r="B126" s="2" t="s">
        <v>672</v>
      </c>
      <c r="C126" s="3" t="s">
        <v>673</v>
      </c>
      <c r="E126" s="2" t="s">
        <v>186</v>
      </c>
      <c r="F126" s="2" t="s">
        <v>187</v>
      </c>
      <c r="G126" s="2" t="s">
        <v>583</v>
      </c>
      <c r="H126" s="3" t="s">
        <v>584</v>
      </c>
      <c r="I126" s="2" t="s">
        <v>585</v>
      </c>
      <c r="J126" s="3" t="s">
        <v>586</v>
      </c>
      <c r="K126" s="2" t="s">
        <v>670</v>
      </c>
      <c r="L126" s="3" t="s">
        <v>671</v>
      </c>
      <c r="N126" s="4" t="s">
        <v>38</v>
      </c>
      <c r="O126" s="4" t="s">
        <v>311</v>
      </c>
      <c r="Q126" s="4" t="s">
        <v>311</v>
      </c>
      <c r="S126" s="2" t="s">
        <v>40</v>
      </c>
      <c r="T126" s="3" t="s">
        <v>95</v>
      </c>
      <c r="U126" s="2" t="s">
        <v>42</v>
      </c>
      <c r="V126" s="2" t="s">
        <v>43</v>
      </c>
      <c r="Y126" s="2" t="str">
        <f>VLOOKUP(C126,[1]Cat_Objetos!$C$4:$C$346,1,FALSE)</f>
        <v>Material de capacitación para la validación</v>
      </c>
    </row>
    <row r="127" spans="1:25" x14ac:dyDescent="0.4">
      <c r="A127" s="4">
        <f t="shared" si="1"/>
        <v>124</v>
      </c>
      <c r="B127" s="2" t="s">
        <v>674</v>
      </c>
      <c r="C127" s="3" t="s">
        <v>675</v>
      </c>
      <c r="D127" s="2" t="s">
        <v>676</v>
      </c>
      <c r="E127" s="2" t="s">
        <v>186</v>
      </c>
      <c r="F127" s="2" t="s">
        <v>187</v>
      </c>
      <c r="G127" s="2" t="s">
        <v>583</v>
      </c>
      <c r="H127" s="3" t="s">
        <v>584</v>
      </c>
      <c r="I127" s="2" t="s">
        <v>677</v>
      </c>
      <c r="J127" s="3" t="s">
        <v>678</v>
      </c>
      <c r="K127" s="2" t="s">
        <v>679</v>
      </c>
      <c r="L127" s="3" t="s">
        <v>678</v>
      </c>
      <c r="N127" s="4" t="s">
        <v>38</v>
      </c>
      <c r="O127" s="4" t="s">
        <v>38</v>
      </c>
      <c r="Q127" s="4" t="s">
        <v>38</v>
      </c>
      <c r="R127" s="2" t="s">
        <v>680</v>
      </c>
      <c r="S127" s="2" t="s">
        <v>40</v>
      </c>
      <c r="T127" s="3" t="s">
        <v>400</v>
      </c>
      <c r="U127" s="2" t="s">
        <v>42</v>
      </c>
      <c r="V127" s="2" t="s">
        <v>43</v>
      </c>
      <c r="Y127" s="2" t="str">
        <f>VLOOKUP(C127,[1]Cat_Objetos!$C$4:$C$346,1,FALSE)</f>
        <v>Requerimientos específicos en materia de seguridad de la información</v>
      </c>
    </row>
    <row r="128" spans="1:25" x14ac:dyDescent="0.4">
      <c r="A128" s="4">
        <f t="shared" si="1"/>
        <v>125</v>
      </c>
      <c r="B128" s="2" t="s">
        <v>681</v>
      </c>
      <c r="C128" s="3" t="s">
        <v>682</v>
      </c>
      <c r="E128" s="2" t="s">
        <v>186</v>
      </c>
      <c r="F128" s="2" t="s">
        <v>187</v>
      </c>
      <c r="G128" s="2" t="s">
        <v>583</v>
      </c>
      <c r="H128" s="3" t="s">
        <v>584</v>
      </c>
      <c r="I128" s="2" t="s">
        <v>677</v>
      </c>
      <c r="J128" s="3" t="s">
        <v>678</v>
      </c>
      <c r="K128" s="2" t="s">
        <v>683</v>
      </c>
      <c r="L128" s="3" t="s">
        <v>684</v>
      </c>
      <c r="N128" s="4" t="s">
        <v>38</v>
      </c>
      <c r="O128" s="4" t="s">
        <v>38</v>
      </c>
      <c r="Q128" s="4" t="s">
        <v>38</v>
      </c>
      <c r="R128" s="2" t="s">
        <v>685</v>
      </c>
      <c r="S128" s="2" t="s">
        <v>40</v>
      </c>
      <c r="T128" s="3" t="s">
        <v>299</v>
      </c>
      <c r="U128" s="2" t="s">
        <v>42</v>
      </c>
      <c r="V128" s="2" t="s">
        <v>43</v>
      </c>
      <c r="Y128" s="2" t="str">
        <f>VLOOKUP(C128,[1]Cat_Objetos!$C$4:$C$346,1,FALSE)</f>
        <v>Diseño de algoritmos y estrategia para anonimización de datos</v>
      </c>
    </row>
    <row r="129" spans="1:25" x14ac:dyDescent="0.4">
      <c r="A129" s="4">
        <f t="shared" si="1"/>
        <v>126</v>
      </c>
      <c r="B129" s="2" t="s">
        <v>686</v>
      </c>
      <c r="C129" s="3" t="s">
        <v>687</v>
      </c>
      <c r="E129" s="2" t="s">
        <v>186</v>
      </c>
      <c r="F129" s="2" t="s">
        <v>187</v>
      </c>
      <c r="G129" s="2" t="s">
        <v>583</v>
      </c>
      <c r="H129" s="3" t="s">
        <v>584</v>
      </c>
      <c r="I129" s="2" t="s">
        <v>677</v>
      </c>
      <c r="J129" s="3" t="s">
        <v>678</v>
      </c>
      <c r="K129" s="2" t="s">
        <v>683</v>
      </c>
      <c r="L129" s="3" t="s">
        <v>684</v>
      </c>
      <c r="N129" s="4" t="s">
        <v>38</v>
      </c>
      <c r="O129" s="4" t="s">
        <v>38</v>
      </c>
      <c r="Q129" s="4" t="s">
        <v>38</v>
      </c>
      <c r="R129" s="2" t="s">
        <v>688</v>
      </c>
      <c r="S129" s="2" t="s">
        <v>40</v>
      </c>
      <c r="T129" s="3" t="s">
        <v>689</v>
      </c>
      <c r="U129" s="2" t="s">
        <v>42</v>
      </c>
      <c r="V129" s="2" t="s">
        <v>43</v>
      </c>
      <c r="Y129" s="2" t="str">
        <f>VLOOKUP(C129,[1]Cat_Objetos!$C$4:$C$346,1,FALSE)</f>
        <v>Definición de roles que participan en el compromiso de confidencialidad</v>
      </c>
    </row>
    <row r="130" spans="1:25" x14ac:dyDescent="0.4">
      <c r="A130" s="4">
        <f t="shared" si="1"/>
        <v>127</v>
      </c>
      <c r="B130" s="2" t="s">
        <v>690</v>
      </c>
      <c r="C130" s="3" t="s">
        <v>691</v>
      </c>
      <c r="D130" s="2" t="s">
        <v>692</v>
      </c>
      <c r="E130" s="2" t="s">
        <v>186</v>
      </c>
      <c r="F130" s="2" t="s">
        <v>187</v>
      </c>
      <c r="G130" s="2" t="s">
        <v>583</v>
      </c>
      <c r="H130" s="3" t="s">
        <v>584</v>
      </c>
      <c r="I130" s="2" t="s">
        <v>677</v>
      </c>
      <c r="J130" s="3" t="s">
        <v>678</v>
      </c>
      <c r="K130" s="2" t="s">
        <v>683</v>
      </c>
      <c r="L130" s="3" t="s">
        <v>684</v>
      </c>
      <c r="N130" s="4" t="s">
        <v>38</v>
      </c>
      <c r="O130" s="4" t="s">
        <v>38</v>
      </c>
      <c r="Q130" s="4" t="s">
        <v>38</v>
      </c>
      <c r="R130" s="2" t="s">
        <v>688</v>
      </c>
      <c r="S130" s="2" t="s">
        <v>40</v>
      </c>
      <c r="T130" s="3" t="s">
        <v>400</v>
      </c>
      <c r="U130" s="2" t="s">
        <v>42</v>
      </c>
      <c r="V130" s="2" t="s">
        <v>43</v>
      </c>
      <c r="Y130" s="2" t="str">
        <f>VLOOKUP(C130,[1]Cat_Objetos!$C$4:$C$346,1,FALSE)</f>
        <v>Otros controles de confidencialidad estadística</v>
      </c>
    </row>
    <row r="131" spans="1:25" ht="29.15" x14ac:dyDescent="0.4">
      <c r="A131" s="4">
        <f t="shared" si="1"/>
        <v>128</v>
      </c>
      <c r="B131" s="2" t="s">
        <v>693</v>
      </c>
      <c r="C131" s="3" t="s">
        <v>694</v>
      </c>
      <c r="E131" s="2" t="s">
        <v>186</v>
      </c>
      <c r="F131" s="2" t="s">
        <v>187</v>
      </c>
      <c r="G131" s="2" t="s">
        <v>583</v>
      </c>
      <c r="H131" s="3" t="s">
        <v>584</v>
      </c>
      <c r="I131" s="2" t="s">
        <v>695</v>
      </c>
      <c r="J131" s="3" t="s">
        <v>696</v>
      </c>
      <c r="K131" s="2" t="s">
        <v>697</v>
      </c>
      <c r="L131" s="3" t="s">
        <v>698</v>
      </c>
      <c r="N131" s="4" t="s">
        <v>38</v>
      </c>
      <c r="O131" s="4" t="s">
        <v>38</v>
      </c>
      <c r="Q131" s="4" t="s">
        <v>38</v>
      </c>
      <c r="R131" s="2" t="s">
        <v>629</v>
      </c>
      <c r="S131" s="2" t="s">
        <v>40</v>
      </c>
      <c r="T131" s="3" t="s">
        <v>272</v>
      </c>
      <c r="U131" s="2" t="s">
        <v>42</v>
      </c>
      <c r="V131" s="2" t="s">
        <v>273</v>
      </c>
      <c r="Y131" s="2" t="str">
        <f>VLOOKUP(C131,[1]Cat_Objetos!$C$4:$C$346,1,FALSE)</f>
        <v>Modelo de datos del conjunto de información</v>
      </c>
    </row>
    <row r="132" spans="1:25" ht="29.15" x14ac:dyDescent="0.4">
      <c r="A132" s="4">
        <f t="shared" si="1"/>
        <v>129</v>
      </c>
      <c r="B132" s="2" t="s">
        <v>699</v>
      </c>
      <c r="C132" s="3" t="s">
        <v>700</v>
      </c>
      <c r="E132" s="2" t="s">
        <v>186</v>
      </c>
      <c r="F132" s="2" t="s">
        <v>187</v>
      </c>
      <c r="G132" s="2" t="s">
        <v>583</v>
      </c>
      <c r="H132" s="3" t="s">
        <v>584</v>
      </c>
      <c r="I132" s="2" t="s">
        <v>695</v>
      </c>
      <c r="J132" s="3" t="s">
        <v>696</v>
      </c>
      <c r="K132" s="2" t="s">
        <v>701</v>
      </c>
      <c r="L132" s="3" t="s">
        <v>702</v>
      </c>
      <c r="N132" s="4" t="s">
        <v>38</v>
      </c>
      <c r="O132" s="4" t="s">
        <v>38</v>
      </c>
      <c r="Q132" s="4" t="s">
        <v>38</v>
      </c>
      <c r="R132" s="2" t="s">
        <v>703</v>
      </c>
      <c r="S132" s="2" t="s">
        <v>40</v>
      </c>
      <c r="T132" s="3" t="s">
        <v>400</v>
      </c>
      <c r="U132" s="2" t="s">
        <v>42</v>
      </c>
      <c r="V132" s="2" t="s">
        <v>43</v>
      </c>
      <c r="Y132" s="2" t="str">
        <f>VLOOKUP(C132,[1]Cat_Objetos!$C$4:$C$346,1,FALSE)</f>
        <v>Estrategias y mecanismos para almacenamiento y conservación de la información</v>
      </c>
    </row>
    <row r="133" spans="1:25" ht="29.15" x14ac:dyDescent="0.4">
      <c r="A133" s="4">
        <f t="shared" si="1"/>
        <v>130</v>
      </c>
      <c r="B133" s="2" t="s">
        <v>704</v>
      </c>
      <c r="C133" s="3" t="s">
        <v>705</v>
      </c>
      <c r="E133" s="2" t="s">
        <v>186</v>
      </c>
      <c r="F133" s="2" t="s">
        <v>187</v>
      </c>
      <c r="G133" s="2" t="s">
        <v>706</v>
      </c>
      <c r="H133" s="3" t="s">
        <v>707</v>
      </c>
      <c r="I133" s="2" t="s">
        <v>708</v>
      </c>
      <c r="J133" s="3" t="s">
        <v>709</v>
      </c>
      <c r="K133" s="2" t="s">
        <v>710</v>
      </c>
      <c r="L133" s="3" t="s">
        <v>711</v>
      </c>
      <c r="N133" s="4" t="s">
        <v>38</v>
      </c>
      <c r="O133" s="4" t="s">
        <v>38</v>
      </c>
      <c r="Q133" s="4" t="s">
        <v>38</v>
      </c>
      <c r="R133" s="2" t="s">
        <v>712</v>
      </c>
      <c r="S133" s="2" t="s">
        <v>40</v>
      </c>
      <c r="T133" s="3" t="s">
        <v>459</v>
      </c>
      <c r="U133" s="2" t="s">
        <v>42</v>
      </c>
      <c r="V133" s="2" t="s">
        <v>43</v>
      </c>
      <c r="Y133" s="2" t="str">
        <f>VLOOKUP(C133,[1]Cat_Objetos!$C$4:$C$346,1,FALSE)</f>
        <v>Esquema de difusión</v>
      </c>
    </row>
    <row r="134" spans="1:25" ht="29.15" x14ac:dyDescent="0.4">
      <c r="A134" s="4">
        <f t="shared" ref="A134:A197" si="2">A133+1</f>
        <v>131</v>
      </c>
      <c r="B134" s="2" t="s">
        <v>713</v>
      </c>
      <c r="C134" s="3" t="s">
        <v>714</v>
      </c>
      <c r="D134" s="8"/>
      <c r="E134" s="2" t="s">
        <v>186</v>
      </c>
      <c r="F134" s="2" t="s">
        <v>187</v>
      </c>
      <c r="G134" s="2" t="s">
        <v>706</v>
      </c>
      <c r="H134" s="3" t="s">
        <v>707</v>
      </c>
      <c r="I134" s="2" t="s">
        <v>708</v>
      </c>
      <c r="J134" s="3" t="s">
        <v>709</v>
      </c>
      <c r="K134" s="2" t="s">
        <v>715</v>
      </c>
      <c r="L134" s="3" t="s">
        <v>716</v>
      </c>
      <c r="N134" s="4" t="s">
        <v>38</v>
      </c>
      <c r="O134" s="4" t="s">
        <v>38</v>
      </c>
      <c r="Q134" s="4" t="s">
        <v>38</v>
      </c>
      <c r="R134" s="2" t="s">
        <v>717</v>
      </c>
      <c r="S134" s="2" t="s">
        <v>40</v>
      </c>
      <c r="T134" s="3" t="s">
        <v>95</v>
      </c>
      <c r="U134" s="2" t="s">
        <v>42</v>
      </c>
      <c r="V134" s="2" t="s">
        <v>43</v>
      </c>
      <c r="Y134" s="2" t="str">
        <f>VLOOKUP(C134,[1]Cat_Objetos!$C$4:$C$346,1,FALSE)</f>
        <v>Oficio de retroalimentación del esquema de difusión</v>
      </c>
    </row>
    <row r="135" spans="1:25" ht="29.15" x14ac:dyDescent="0.4">
      <c r="A135" s="4">
        <f t="shared" si="2"/>
        <v>132</v>
      </c>
      <c r="B135" s="2" t="s">
        <v>718</v>
      </c>
      <c r="C135" s="3" t="s">
        <v>719</v>
      </c>
      <c r="D135" s="2" t="s">
        <v>720</v>
      </c>
      <c r="E135" s="2" t="s">
        <v>721</v>
      </c>
      <c r="F135" s="2" t="s">
        <v>722</v>
      </c>
      <c r="G135" s="2" t="s">
        <v>723</v>
      </c>
      <c r="H135" s="3" t="s">
        <v>724</v>
      </c>
      <c r="I135" s="2" t="s">
        <v>725</v>
      </c>
      <c r="J135" s="3" t="s">
        <v>726</v>
      </c>
      <c r="K135" s="2" t="s">
        <v>727</v>
      </c>
      <c r="L135" s="3" t="s">
        <v>728</v>
      </c>
      <c r="N135" s="4" t="s">
        <v>38</v>
      </c>
      <c r="O135" s="4" t="s">
        <v>38</v>
      </c>
      <c r="Q135" s="4" t="s">
        <v>38</v>
      </c>
      <c r="R135" s="2" t="s">
        <v>729</v>
      </c>
      <c r="S135" s="2" t="s">
        <v>40</v>
      </c>
      <c r="T135" s="3" t="s">
        <v>272</v>
      </c>
      <c r="U135" s="2" t="s">
        <v>42</v>
      </c>
      <c r="V135" s="2" t="s">
        <v>273</v>
      </c>
      <c r="Y135" s="2" t="str">
        <f>VLOOKUP(C135,[1]Cat_Objetos!$C$4:$C$346,1,FALSE)</f>
        <v>Modelo de datos del sistema administrador</v>
      </c>
    </row>
    <row r="136" spans="1:25" ht="29.15" x14ac:dyDescent="0.4">
      <c r="A136" s="4">
        <f t="shared" si="2"/>
        <v>133</v>
      </c>
      <c r="B136" s="2" t="s">
        <v>730</v>
      </c>
      <c r="C136" s="3" t="s">
        <v>731</v>
      </c>
      <c r="E136" s="2" t="s">
        <v>721</v>
      </c>
      <c r="F136" s="2" t="s">
        <v>722</v>
      </c>
      <c r="G136" s="2" t="s">
        <v>723</v>
      </c>
      <c r="H136" s="3" t="s">
        <v>724</v>
      </c>
      <c r="I136" s="2" t="s">
        <v>725</v>
      </c>
      <c r="J136" s="3" t="s">
        <v>726</v>
      </c>
      <c r="K136" s="2" t="s">
        <v>727</v>
      </c>
      <c r="L136" s="3" t="s">
        <v>728</v>
      </c>
      <c r="N136" s="4" t="s">
        <v>38</v>
      </c>
      <c r="O136" s="4" t="s">
        <v>38</v>
      </c>
      <c r="Q136" s="4" t="s">
        <v>38</v>
      </c>
      <c r="R136" s="2" t="s">
        <v>729</v>
      </c>
      <c r="S136" s="2" t="s">
        <v>40</v>
      </c>
      <c r="T136" s="3" t="s">
        <v>732</v>
      </c>
      <c r="U136" s="2" t="s">
        <v>42</v>
      </c>
      <c r="V136" s="2" t="s">
        <v>43</v>
      </c>
      <c r="Y136" s="2" t="str">
        <f>VLOOKUP(C136,[1]Cat_Objetos!$C$4:$C$346,1,FALSE)</f>
        <v>Sistema administrador para seguimiento y control operativo</v>
      </c>
    </row>
    <row r="137" spans="1:25" ht="29.15" x14ac:dyDescent="0.4">
      <c r="A137" s="4">
        <f t="shared" si="2"/>
        <v>134</v>
      </c>
      <c r="B137" s="2" t="s">
        <v>733</v>
      </c>
      <c r="C137" s="3" t="s">
        <v>734</v>
      </c>
      <c r="D137" s="2" t="s">
        <v>735</v>
      </c>
      <c r="E137" s="2" t="s">
        <v>721</v>
      </c>
      <c r="F137" s="2" t="s">
        <v>722</v>
      </c>
      <c r="G137" s="2" t="s">
        <v>723</v>
      </c>
      <c r="H137" s="3" t="s">
        <v>724</v>
      </c>
      <c r="I137" s="2" t="s">
        <v>725</v>
      </c>
      <c r="J137" s="3" t="s">
        <v>726</v>
      </c>
      <c r="K137" s="2" t="s">
        <v>736</v>
      </c>
      <c r="L137" s="3" t="s">
        <v>737</v>
      </c>
      <c r="N137" s="4" t="s">
        <v>38</v>
      </c>
      <c r="O137" s="4" t="s">
        <v>38</v>
      </c>
      <c r="Q137" s="4" t="s">
        <v>38</v>
      </c>
      <c r="R137" s="2" t="s">
        <v>729</v>
      </c>
      <c r="S137" s="2" t="s">
        <v>40</v>
      </c>
      <c r="T137" s="3" t="s">
        <v>370</v>
      </c>
      <c r="U137" s="2" t="s">
        <v>42</v>
      </c>
      <c r="V137" s="2" t="s">
        <v>43</v>
      </c>
      <c r="Y137" s="2" t="str">
        <f>VLOOKUP(C137,[1]Cat_Objetos!$C$4:$C$346,1,FALSE)</f>
        <v>Sistema para la captación</v>
      </c>
    </row>
    <row r="138" spans="1:25" ht="29.15" x14ac:dyDescent="0.4">
      <c r="A138" s="4">
        <f t="shared" si="2"/>
        <v>135</v>
      </c>
      <c r="B138" s="2" t="s">
        <v>738</v>
      </c>
      <c r="C138" s="3" t="s">
        <v>739</v>
      </c>
      <c r="D138" s="2" t="s">
        <v>740</v>
      </c>
      <c r="E138" s="2" t="s">
        <v>721</v>
      </c>
      <c r="F138" s="2" t="s">
        <v>722</v>
      </c>
      <c r="G138" s="2" t="s">
        <v>723</v>
      </c>
      <c r="H138" s="3" t="s">
        <v>724</v>
      </c>
      <c r="I138" s="2" t="s">
        <v>725</v>
      </c>
      <c r="J138" s="3" t="s">
        <v>726</v>
      </c>
      <c r="K138" s="2" t="s">
        <v>741</v>
      </c>
      <c r="L138" s="3" t="s">
        <v>742</v>
      </c>
      <c r="N138" s="4" t="s">
        <v>38</v>
      </c>
      <c r="O138" s="4" t="s">
        <v>38</v>
      </c>
      <c r="Q138" s="4" t="s">
        <v>38</v>
      </c>
      <c r="R138" s="2" t="s">
        <v>743</v>
      </c>
      <c r="S138" s="2" t="s">
        <v>40</v>
      </c>
      <c r="T138" s="3" t="s">
        <v>732</v>
      </c>
      <c r="U138" s="2" t="s">
        <v>42</v>
      </c>
      <c r="V138" s="2" t="s">
        <v>43</v>
      </c>
      <c r="Y138" s="2" t="str">
        <f>VLOOKUP(C138,[1]Cat_Objetos!$C$4:$C$346,1,FALSE)</f>
        <v>Documentación del respaldo del sistema</v>
      </c>
    </row>
    <row r="139" spans="1:25" ht="29.15" x14ac:dyDescent="0.4">
      <c r="A139" s="4">
        <f t="shared" si="2"/>
        <v>136</v>
      </c>
      <c r="B139" s="2" t="s">
        <v>744</v>
      </c>
      <c r="C139" s="3" t="s">
        <v>745</v>
      </c>
      <c r="D139" s="2" t="s">
        <v>746</v>
      </c>
      <c r="E139" s="2" t="s">
        <v>721</v>
      </c>
      <c r="F139" s="2" t="s">
        <v>722</v>
      </c>
      <c r="G139" s="2" t="s">
        <v>723</v>
      </c>
      <c r="H139" s="3" t="s">
        <v>724</v>
      </c>
      <c r="I139" s="2" t="s">
        <v>725</v>
      </c>
      <c r="J139" s="3" t="s">
        <v>726</v>
      </c>
      <c r="K139" s="2" t="s">
        <v>741</v>
      </c>
      <c r="L139" s="3" t="s">
        <v>742</v>
      </c>
      <c r="N139" s="4" t="s">
        <v>38</v>
      </c>
      <c r="O139" s="4" t="s">
        <v>38</v>
      </c>
      <c r="Q139" s="4" t="s">
        <v>38</v>
      </c>
      <c r="R139" s="2" t="s">
        <v>747</v>
      </c>
      <c r="S139" s="2" t="s">
        <v>40</v>
      </c>
      <c r="T139" s="3" t="s">
        <v>732</v>
      </c>
      <c r="U139" s="2" t="s">
        <v>42</v>
      </c>
      <c r="V139" s="2" t="s">
        <v>43</v>
      </c>
      <c r="Y139" s="2" t="str">
        <f>VLOOKUP(C139,[1]Cat_Objetos!$C$4:$C$346,1,FALSE)</f>
        <v>Documentación técnica del sistema</v>
      </c>
    </row>
    <row r="140" spans="1:25" ht="29.15" x14ac:dyDescent="0.4">
      <c r="A140" s="4">
        <f t="shared" si="2"/>
        <v>137</v>
      </c>
      <c r="B140" s="2" t="s">
        <v>748</v>
      </c>
      <c r="C140" s="3" t="s">
        <v>749</v>
      </c>
      <c r="D140" s="2" t="s">
        <v>750</v>
      </c>
      <c r="E140" s="2" t="s">
        <v>721</v>
      </c>
      <c r="F140" s="2" t="s">
        <v>722</v>
      </c>
      <c r="G140" s="2" t="s">
        <v>723</v>
      </c>
      <c r="H140" s="3" t="s">
        <v>724</v>
      </c>
      <c r="I140" s="2" t="s">
        <v>725</v>
      </c>
      <c r="J140" s="3" t="s">
        <v>726</v>
      </c>
      <c r="K140" s="2" t="s">
        <v>741</v>
      </c>
      <c r="L140" s="3" t="s">
        <v>751</v>
      </c>
      <c r="N140" s="4" t="s">
        <v>38</v>
      </c>
      <c r="O140" s="4" t="s">
        <v>311</v>
      </c>
      <c r="Q140" s="4" t="s">
        <v>311</v>
      </c>
      <c r="R140" s="2" t="s">
        <v>752</v>
      </c>
      <c r="S140" s="2" t="s">
        <v>40</v>
      </c>
      <c r="T140" s="3" t="s">
        <v>732</v>
      </c>
      <c r="U140" s="2" t="s">
        <v>42</v>
      </c>
      <c r="V140" s="2" t="s">
        <v>43</v>
      </c>
      <c r="Y140" s="2" t="str">
        <f>VLOOKUP(C140,[1]Cat_Objetos!$C$4:$C$346,1,FALSE)</f>
        <v>Manual del sistema para la captación</v>
      </c>
    </row>
    <row r="141" spans="1:25" ht="29.15" x14ac:dyDescent="0.4">
      <c r="A141" s="4">
        <f t="shared" si="2"/>
        <v>138</v>
      </c>
      <c r="B141" s="2" t="s">
        <v>753</v>
      </c>
      <c r="C141" s="3" t="s">
        <v>754</v>
      </c>
      <c r="D141" s="2" t="s">
        <v>755</v>
      </c>
      <c r="E141" s="2" t="s">
        <v>721</v>
      </c>
      <c r="F141" s="2" t="s">
        <v>722</v>
      </c>
      <c r="G141" s="2" t="s">
        <v>723</v>
      </c>
      <c r="H141" s="3" t="s">
        <v>724</v>
      </c>
      <c r="I141" s="2" t="s">
        <v>756</v>
      </c>
      <c r="J141" s="3" t="s">
        <v>757</v>
      </c>
      <c r="K141" s="2" t="s">
        <v>758</v>
      </c>
      <c r="L141" s="3" t="s">
        <v>759</v>
      </c>
      <c r="N141" s="4" t="s">
        <v>38</v>
      </c>
      <c r="O141" s="4" t="s">
        <v>38</v>
      </c>
      <c r="Q141" s="4" t="s">
        <v>38</v>
      </c>
      <c r="R141" s="2" t="s">
        <v>729</v>
      </c>
      <c r="S141" s="2" t="s">
        <v>40</v>
      </c>
      <c r="T141" s="3" t="s">
        <v>732</v>
      </c>
      <c r="U141" s="2" t="s">
        <v>42</v>
      </c>
      <c r="V141" s="2" t="s">
        <v>43</v>
      </c>
      <c r="Y141" s="2" t="str">
        <f>VLOOKUP(C141,[1]Cat_Objetos!$C$4:$C$346,1,FALSE)</f>
        <v>Sistema para la integración de datos</v>
      </c>
    </row>
    <row r="142" spans="1:25" ht="29.15" x14ac:dyDescent="0.4">
      <c r="A142" s="4">
        <f t="shared" si="2"/>
        <v>139</v>
      </c>
      <c r="B142" s="2" t="s">
        <v>760</v>
      </c>
      <c r="C142" s="3" t="s">
        <v>761</v>
      </c>
      <c r="D142" s="2" t="s">
        <v>762</v>
      </c>
      <c r="E142" s="2" t="s">
        <v>721</v>
      </c>
      <c r="F142" s="2" t="s">
        <v>722</v>
      </c>
      <c r="G142" s="2" t="s">
        <v>723</v>
      </c>
      <c r="H142" s="3" t="s">
        <v>724</v>
      </c>
      <c r="I142" s="2" t="s">
        <v>756</v>
      </c>
      <c r="J142" s="3" t="s">
        <v>757</v>
      </c>
      <c r="K142" s="2" t="s">
        <v>763</v>
      </c>
      <c r="L142" s="3" t="s">
        <v>764</v>
      </c>
      <c r="N142" s="4" t="s">
        <v>38</v>
      </c>
      <c r="O142" s="4" t="s">
        <v>38</v>
      </c>
      <c r="Q142" s="4" t="s">
        <v>38</v>
      </c>
      <c r="R142" s="2" t="s">
        <v>729</v>
      </c>
      <c r="S142" s="2" t="s">
        <v>40</v>
      </c>
      <c r="T142" s="3" t="s">
        <v>732</v>
      </c>
      <c r="U142" s="2" t="s">
        <v>42</v>
      </c>
      <c r="V142" s="2" t="s">
        <v>43</v>
      </c>
      <c r="Y142" s="2" t="str">
        <f>VLOOKUP(C142,[1]Cat_Objetos!$C$4:$C$346,1,FALSE)</f>
        <v>Sistema para la codificación</v>
      </c>
    </row>
    <row r="143" spans="1:25" ht="29.15" x14ac:dyDescent="0.4">
      <c r="A143" s="4">
        <f t="shared" si="2"/>
        <v>140</v>
      </c>
      <c r="B143" s="2" t="s">
        <v>765</v>
      </c>
      <c r="C143" s="3" t="s">
        <v>766</v>
      </c>
      <c r="E143" s="2" t="s">
        <v>721</v>
      </c>
      <c r="F143" s="2" t="s">
        <v>722</v>
      </c>
      <c r="G143" s="2" t="s">
        <v>723</v>
      </c>
      <c r="H143" s="3" t="s">
        <v>724</v>
      </c>
      <c r="I143" s="2" t="s">
        <v>756</v>
      </c>
      <c r="J143" s="3" t="s">
        <v>757</v>
      </c>
      <c r="K143" s="2" t="s">
        <v>763</v>
      </c>
      <c r="L143" s="3" t="s">
        <v>764</v>
      </c>
      <c r="N143" s="4" t="s">
        <v>38</v>
      </c>
      <c r="O143" s="4" t="s">
        <v>311</v>
      </c>
      <c r="Q143" s="4" t="s">
        <v>311</v>
      </c>
      <c r="S143" s="2" t="s">
        <v>40</v>
      </c>
      <c r="T143" s="3" t="s">
        <v>732</v>
      </c>
      <c r="U143" s="2" t="s">
        <v>42</v>
      </c>
      <c r="V143" s="2" t="s">
        <v>43</v>
      </c>
      <c r="Y143" s="2" t="str">
        <f>VLOOKUP(C143,[1]Cat_Objetos!$C$4:$C$346,1,FALSE)</f>
        <v>Manual del sistema para la codificación</v>
      </c>
    </row>
    <row r="144" spans="1:25" ht="29.15" x14ac:dyDescent="0.4">
      <c r="A144" s="4">
        <f t="shared" si="2"/>
        <v>141</v>
      </c>
      <c r="B144" s="2" t="s">
        <v>767</v>
      </c>
      <c r="C144" s="3" t="s">
        <v>768</v>
      </c>
      <c r="D144" s="2" t="s">
        <v>769</v>
      </c>
      <c r="E144" s="2" t="s">
        <v>721</v>
      </c>
      <c r="F144" s="2" t="s">
        <v>722</v>
      </c>
      <c r="G144" s="2" t="s">
        <v>723</v>
      </c>
      <c r="H144" s="3" t="s">
        <v>724</v>
      </c>
      <c r="I144" s="2" t="s">
        <v>756</v>
      </c>
      <c r="J144" s="3" t="s">
        <v>757</v>
      </c>
      <c r="K144" s="2" t="s">
        <v>770</v>
      </c>
      <c r="L144" s="3" t="s">
        <v>771</v>
      </c>
      <c r="N144" s="4" t="s">
        <v>38</v>
      </c>
      <c r="O144" s="4" t="s">
        <v>38</v>
      </c>
      <c r="Q144" s="4" t="s">
        <v>38</v>
      </c>
      <c r="R144" s="2" t="s">
        <v>729</v>
      </c>
      <c r="S144" s="2" t="s">
        <v>40</v>
      </c>
      <c r="T144" s="3" t="s">
        <v>732</v>
      </c>
      <c r="U144" s="2" t="s">
        <v>42</v>
      </c>
      <c r="V144" s="2" t="s">
        <v>43</v>
      </c>
      <c r="Y144" s="2" t="str">
        <f>VLOOKUP(C144,[1]Cat_Objetos!$C$4:$C$346,1,FALSE)</f>
        <v>Sistema para la validación, edición e imputación</v>
      </c>
    </row>
    <row r="145" spans="1:25" ht="29.15" x14ac:dyDescent="0.4">
      <c r="A145" s="4">
        <f t="shared" si="2"/>
        <v>142</v>
      </c>
      <c r="B145" s="2" t="s">
        <v>772</v>
      </c>
      <c r="C145" s="3" t="s">
        <v>773</v>
      </c>
      <c r="E145" s="2" t="s">
        <v>721</v>
      </c>
      <c r="F145" s="2" t="s">
        <v>722</v>
      </c>
      <c r="G145" s="2" t="s">
        <v>723</v>
      </c>
      <c r="H145" s="3" t="s">
        <v>724</v>
      </c>
      <c r="I145" s="2" t="s">
        <v>756</v>
      </c>
      <c r="J145" s="3" t="s">
        <v>757</v>
      </c>
      <c r="K145" s="2" t="s">
        <v>770</v>
      </c>
      <c r="L145" s="3" t="s">
        <v>771</v>
      </c>
      <c r="N145" s="4" t="s">
        <v>38</v>
      </c>
      <c r="O145" s="4" t="s">
        <v>311</v>
      </c>
      <c r="Q145" s="4" t="s">
        <v>311</v>
      </c>
      <c r="S145" s="2" t="s">
        <v>40</v>
      </c>
      <c r="T145" s="3" t="s">
        <v>732</v>
      </c>
      <c r="U145" s="2" t="s">
        <v>42</v>
      </c>
      <c r="V145" s="2" t="s">
        <v>43</v>
      </c>
      <c r="Y145" s="2" t="str">
        <f>VLOOKUP(C145,[1]Cat_Objetos!$C$4:$C$346,1,FALSE)</f>
        <v>Manual del sistema para la validación, edición e imputación</v>
      </c>
    </row>
    <row r="146" spans="1:25" ht="29.15" x14ac:dyDescent="0.4">
      <c r="A146" s="4">
        <f t="shared" si="2"/>
        <v>143</v>
      </c>
      <c r="B146" s="2" t="s">
        <v>774</v>
      </c>
      <c r="C146" s="3" t="s">
        <v>775</v>
      </c>
      <c r="D146" s="2" t="s">
        <v>776</v>
      </c>
      <c r="E146" s="2" t="s">
        <v>721</v>
      </c>
      <c r="F146" s="2" t="s">
        <v>722</v>
      </c>
      <c r="G146" s="2" t="s">
        <v>723</v>
      </c>
      <c r="H146" s="3" t="s">
        <v>724</v>
      </c>
      <c r="I146" s="2" t="s">
        <v>756</v>
      </c>
      <c r="J146" s="3" t="s">
        <v>757</v>
      </c>
      <c r="K146" s="2" t="s">
        <v>777</v>
      </c>
      <c r="L146" s="3" t="s">
        <v>778</v>
      </c>
      <c r="N146" s="4" t="s">
        <v>38</v>
      </c>
      <c r="O146" s="4" t="s">
        <v>38</v>
      </c>
      <c r="Q146" s="4" t="s">
        <v>38</v>
      </c>
      <c r="R146" s="2" t="s">
        <v>729</v>
      </c>
      <c r="S146" s="2" t="s">
        <v>40</v>
      </c>
      <c r="T146" s="3" t="s">
        <v>732</v>
      </c>
      <c r="U146" s="2" t="s">
        <v>42</v>
      </c>
      <c r="V146" s="2" t="s">
        <v>43</v>
      </c>
      <c r="Y146" s="2" t="str">
        <f>VLOOKUP(C146,[1]Cat_Objetos!$C$4:$C$346,1,FALSE)</f>
        <v>Sistema para nuevas variables o unidades</v>
      </c>
    </row>
    <row r="147" spans="1:25" ht="29.15" x14ac:dyDescent="0.4">
      <c r="A147" s="4">
        <f t="shared" si="2"/>
        <v>144</v>
      </c>
      <c r="B147" s="2" t="s">
        <v>779</v>
      </c>
      <c r="C147" s="3" t="s">
        <v>780</v>
      </c>
      <c r="D147" s="2" t="s">
        <v>781</v>
      </c>
      <c r="E147" s="2" t="s">
        <v>721</v>
      </c>
      <c r="F147" s="2" t="s">
        <v>722</v>
      </c>
      <c r="G147" s="2" t="s">
        <v>723</v>
      </c>
      <c r="H147" s="3" t="s">
        <v>724</v>
      </c>
      <c r="I147" s="2" t="s">
        <v>756</v>
      </c>
      <c r="J147" s="3" t="s">
        <v>757</v>
      </c>
      <c r="K147" s="2" t="s">
        <v>782</v>
      </c>
      <c r="L147" s="3" t="s">
        <v>783</v>
      </c>
      <c r="N147" s="4" t="s">
        <v>38</v>
      </c>
      <c r="O147" s="4" t="s">
        <v>38</v>
      </c>
      <c r="Q147" s="4" t="s">
        <v>311</v>
      </c>
      <c r="R147" s="2" t="s">
        <v>729</v>
      </c>
      <c r="S147" s="2" t="s">
        <v>40</v>
      </c>
      <c r="T147" s="3" t="s">
        <v>732</v>
      </c>
      <c r="U147" s="2" t="s">
        <v>42</v>
      </c>
      <c r="V147" s="2" t="s">
        <v>43</v>
      </c>
      <c r="Y147" s="2" t="str">
        <f>VLOOKUP(C147,[1]Cat_Objetos!$C$4:$C$346,1,FALSE)</f>
        <v>Sistema para el cálculo y calibración de ponderadores</v>
      </c>
    </row>
    <row r="148" spans="1:25" ht="29.15" x14ac:dyDescent="0.4">
      <c r="A148" s="4">
        <f t="shared" si="2"/>
        <v>145</v>
      </c>
      <c r="B148" s="2" t="s">
        <v>784</v>
      </c>
      <c r="C148" s="3" t="s">
        <v>785</v>
      </c>
      <c r="D148" s="2" t="s">
        <v>786</v>
      </c>
      <c r="E148" s="2" t="s">
        <v>721</v>
      </c>
      <c r="F148" s="2" t="s">
        <v>722</v>
      </c>
      <c r="G148" s="2" t="s">
        <v>723</v>
      </c>
      <c r="H148" s="3" t="s">
        <v>724</v>
      </c>
      <c r="I148" s="2" t="s">
        <v>756</v>
      </c>
      <c r="J148" s="3" t="s">
        <v>757</v>
      </c>
      <c r="K148" s="2" t="s">
        <v>787</v>
      </c>
      <c r="L148" s="3" t="s">
        <v>788</v>
      </c>
      <c r="N148" s="4" t="s">
        <v>38</v>
      </c>
      <c r="O148" s="4" t="s">
        <v>38</v>
      </c>
      <c r="Q148" s="4" t="s">
        <v>38</v>
      </c>
      <c r="R148" s="2" t="s">
        <v>729</v>
      </c>
      <c r="S148" s="2" t="s">
        <v>40</v>
      </c>
      <c r="T148" s="3" t="s">
        <v>732</v>
      </c>
      <c r="U148" s="2" t="s">
        <v>42</v>
      </c>
      <c r="V148" s="2" t="s">
        <v>43</v>
      </c>
      <c r="Y148" s="2" t="str">
        <f>VLOOKUP(C148,[1]Cat_Objetos!$C$4:$C$346,1,FALSE)</f>
        <v>Sistema para el cálculo de agregaciones y medidas estadísticas</v>
      </c>
    </row>
    <row r="149" spans="1:25" ht="43.75" x14ac:dyDescent="0.4">
      <c r="A149" s="4">
        <f t="shared" si="2"/>
        <v>146</v>
      </c>
      <c r="B149" s="2" t="s">
        <v>789</v>
      </c>
      <c r="C149" s="3" t="s">
        <v>790</v>
      </c>
      <c r="D149" s="2" t="s">
        <v>791</v>
      </c>
      <c r="E149" s="2" t="s">
        <v>721</v>
      </c>
      <c r="F149" s="2" t="s">
        <v>722</v>
      </c>
      <c r="G149" s="2" t="s">
        <v>723</v>
      </c>
      <c r="H149" s="3" t="s">
        <v>724</v>
      </c>
      <c r="I149" s="2" t="s">
        <v>756</v>
      </c>
      <c r="J149" s="3" t="s">
        <v>757</v>
      </c>
      <c r="K149" s="2" t="s">
        <v>792</v>
      </c>
      <c r="L149" s="3" t="s">
        <v>793</v>
      </c>
      <c r="N149" s="4" t="s">
        <v>311</v>
      </c>
      <c r="O149" s="4" t="s">
        <v>38</v>
      </c>
      <c r="Q149" s="4" t="s">
        <v>311</v>
      </c>
      <c r="R149" s="2" t="s">
        <v>752</v>
      </c>
      <c r="S149" s="2" t="s">
        <v>40</v>
      </c>
      <c r="T149" s="3" t="s">
        <v>732</v>
      </c>
      <c r="U149" s="2" t="s">
        <v>42</v>
      </c>
      <c r="V149" s="2" t="s">
        <v>43</v>
      </c>
      <c r="Y149" s="2" t="str">
        <f>VLOOKUP(C149,[1]Cat_Objetos!$C$4:$C$346,1,FALSE)</f>
        <v>Manuales de los sistemas para el procesamiento</v>
      </c>
    </row>
    <row r="150" spans="1:25" ht="29.15" x14ac:dyDescent="0.4">
      <c r="A150" s="4">
        <f t="shared" si="2"/>
        <v>147</v>
      </c>
      <c r="B150" s="2" t="s">
        <v>794</v>
      </c>
      <c r="C150" s="3" t="s">
        <v>795</v>
      </c>
      <c r="E150" s="2" t="s">
        <v>721</v>
      </c>
      <c r="F150" s="2" t="s">
        <v>722</v>
      </c>
      <c r="G150" s="2" t="s">
        <v>723</v>
      </c>
      <c r="H150" s="3" t="s">
        <v>724</v>
      </c>
      <c r="I150" s="2" t="s">
        <v>756</v>
      </c>
      <c r="J150" s="3" t="s">
        <v>757</v>
      </c>
      <c r="K150" s="2" t="s">
        <v>792</v>
      </c>
      <c r="L150" s="3" t="s">
        <v>796</v>
      </c>
      <c r="N150" s="4" t="s">
        <v>38</v>
      </c>
      <c r="O150" s="4" t="s">
        <v>311</v>
      </c>
      <c r="Q150" s="4" t="s">
        <v>311</v>
      </c>
      <c r="R150" s="2" t="s">
        <v>752</v>
      </c>
      <c r="S150" s="2" t="s">
        <v>40</v>
      </c>
      <c r="T150" s="3" t="s">
        <v>732</v>
      </c>
      <c r="U150" s="2" t="s">
        <v>42</v>
      </c>
      <c r="V150" s="2" t="s">
        <v>43</v>
      </c>
      <c r="Y150" s="2" t="str">
        <f>VLOOKUP(C150,[1]Cat_Objetos!$C$4:$C$346,1,FALSE)</f>
        <v>Manuales de otros sistemas para el procesamiento</v>
      </c>
    </row>
    <row r="151" spans="1:25" ht="29.15" x14ac:dyDescent="0.4">
      <c r="A151" s="4">
        <f t="shared" si="2"/>
        <v>148</v>
      </c>
      <c r="B151" s="2" t="s">
        <v>797</v>
      </c>
      <c r="C151" s="7" t="s">
        <v>798</v>
      </c>
      <c r="D151" s="2" t="s">
        <v>799</v>
      </c>
      <c r="E151" s="2" t="s">
        <v>721</v>
      </c>
      <c r="F151" s="2" t="s">
        <v>722</v>
      </c>
      <c r="G151" s="2" t="s">
        <v>723</v>
      </c>
      <c r="H151" s="3" t="s">
        <v>724</v>
      </c>
      <c r="I151" s="2" t="s">
        <v>756</v>
      </c>
      <c r="J151" s="3" t="s">
        <v>757</v>
      </c>
      <c r="K151" s="2" t="s">
        <v>792</v>
      </c>
      <c r="L151" s="3" t="s">
        <v>796</v>
      </c>
      <c r="N151" s="4" t="s">
        <v>38</v>
      </c>
      <c r="O151" s="4" t="s">
        <v>38</v>
      </c>
      <c r="Q151" s="4" t="s">
        <v>38</v>
      </c>
      <c r="S151" s="2" t="s">
        <v>40</v>
      </c>
      <c r="T151" s="3" t="s">
        <v>299</v>
      </c>
      <c r="U151" s="2" t="s">
        <v>42</v>
      </c>
      <c r="V151" s="2" t="s">
        <v>43</v>
      </c>
      <c r="Y151" s="2" t="e">
        <f>VLOOKUP(C151,[1]Cat_Objetos!$C$4:$C$346,1,FALSE)</f>
        <v>#N/A</v>
      </c>
    </row>
    <row r="152" spans="1:25" ht="29.15" x14ac:dyDescent="0.4">
      <c r="A152" s="4">
        <f t="shared" si="2"/>
        <v>149</v>
      </c>
      <c r="B152" s="2" t="s">
        <v>800</v>
      </c>
      <c r="C152" s="3" t="s">
        <v>801</v>
      </c>
      <c r="D152" s="2" t="s">
        <v>802</v>
      </c>
      <c r="E152" s="2" t="s">
        <v>721</v>
      </c>
      <c r="F152" s="2" t="s">
        <v>722</v>
      </c>
      <c r="G152" s="2" t="s">
        <v>723</v>
      </c>
      <c r="H152" s="3" t="s">
        <v>724</v>
      </c>
      <c r="I152" s="2" t="s">
        <v>803</v>
      </c>
      <c r="J152" s="3" t="s">
        <v>804</v>
      </c>
      <c r="K152" s="2" t="s">
        <v>805</v>
      </c>
      <c r="L152" s="3" t="s">
        <v>806</v>
      </c>
      <c r="N152" s="4" t="s">
        <v>38</v>
      </c>
      <c r="O152" s="4" t="s">
        <v>38</v>
      </c>
      <c r="Q152" s="4" t="s">
        <v>38</v>
      </c>
      <c r="R152" s="2" t="s">
        <v>729</v>
      </c>
      <c r="S152" s="2" t="s">
        <v>40</v>
      </c>
      <c r="T152" s="3" t="s">
        <v>732</v>
      </c>
      <c r="U152" s="2" t="s">
        <v>42</v>
      </c>
      <c r="V152" s="2" t="s">
        <v>43</v>
      </c>
      <c r="Y152" s="2" t="str">
        <f>VLOOKUP(C152,[1]Cat_Objetos!$C$4:$C$346,1,FALSE)</f>
        <v>Sistema para el cálculo de resultados estadísticos e indicadores de calidad</v>
      </c>
    </row>
    <row r="153" spans="1:25" ht="43.75" x14ac:dyDescent="0.4">
      <c r="A153" s="4">
        <f t="shared" si="2"/>
        <v>150</v>
      </c>
      <c r="B153" s="2" t="s">
        <v>807</v>
      </c>
      <c r="C153" s="3" t="s">
        <v>808</v>
      </c>
      <c r="D153" s="2" t="s">
        <v>809</v>
      </c>
      <c r="E153" s="2" t="s">
        <v>721</v>
      </c>
      <c r="F153" s="2" t="s">
        <v>722</v>
      </c>
      <c r="G153" s="2" t="s">
        <v>723</v>
      </c>
      <c r="H153" s="3" t="s">
        <v>724</v>
      </c>
      <c r="I153" s="2" t="s">
        <v>803</v>
      </c>
      <c r="J153" s="3" t="s">
        <v>804</v>
      </c>
      <c r="K153" s="2" t="s">
        <v>810</v>
      </c>
      <c r="L153" s="3" t="s">
        <v>811</v>
      </c>
      <c r="N153" s="4" t="s">
        <v>38</v>
      </c>
      <c r="O153" s="4" t="s">
        <v>311</v>
      </c>
      <c r="Q153" s="4" t="s">
        <v>311</v>
      </c>
      <c r="R153" s="2" t="s">
        <v>752</v>
      </c>
      <c r="S153" s="2" t="s">
        <v>40</v>
      </c>
      <c r="T153" s="3" t="s">
        <v>732</v>
      </c>
      <c r="U153" s="2" t="s">
        <v>42</v>
      </c>
      <c r="V153" s="2" t="s">
        <v>43</v>
      </c>
      <c r="Y153" s="2" t="str">
        <f>VLOOKUP(C153,[1]Cat_Objetos!$C$4:$C$346,1,FALSE)</f>
        <v>Manual del sistema para el cálculo de resultados est. e indicadores de calidad</v>
      </c>
    </row>
    <row r="154" spans="1:25" ht="29.15" x14ac:dyDescent="0.4">
      <c r="A154" s="4">
        <f t="shared" si="2"/>
        <v>151</v>
      </c>
      <c r="B154" s="2" t="s">
        <v>812</v>
      </c>
      <c r="C154" s="3" t="s">
        <v>813</v>
      </c>
      <c r="D154" s="2" t="s">
        <v>814</v>
      </c>
      <c r="E154" s="2" t="s">
        <v>721</v>
      </c>
      <c r="F154" s="2" t="s">
        <v>722</v>
      </c>
      <c r="G154" s="2" t="s">
        <v>723</v>
      </c>
      <c r="H154" s="3" t="s">
        <v>724</v>
      </c>
      <c r="I154" s="2" t="s">
        <v>815</v>
      </c>
      <c r="J154" s="3" t="s">
        <v>816</v>
      </c>
      <c r="K154" s="2" t="s">
        <v>817</v>
      </c>
      <c r="L154" s="3" t="s">
        <v>818</v>
      </c>
      <c r="N154" s="4" t="s">
        <v>38</v>
      </c>
      <c r="O154" s="4" t="s">
        <v>38</v>
      </c>
      <c r="Q154" s="4" t="s">
        <v>38</v>
      </c>
      <c r="R154" s="2" t="s">
        <v>729</v>
      </c>
      <c r="S154" s="2" t="s">
        <v>40</v>
      </c>
      <c r="T154" s="3" t="s">
        <v>732</v>
      </c>
      <c r="U154" s="2" t="s">
        <v>42</v>
      </c>
      <c r="V154" s="2" t="s">
        <v>43</v>
      </c>
      <c r="Y154" s="2" t="str">
        <f>VLOOKUP(C154,[1]Cat_Objetos!$C$4:$C$346,1,FALSE)</f>
        <v>Sistema para la difusión</v>
      </c>
    </row>
    <row r="155" spans="1:25" ht="43.75" x14ac:dyDescent="0.4">
      <c r="A155" s="4">
        <f t="shared" si="2"/>
        <v>152</v>
      </c>
      <c r="B155" s="2" t="s">
        <v>819</v>
      </c>
      <c r="C155" s="3" t="s">
        <v>820</v>
      </c>
      <c r="D155" s="2" t="s">
        <v>821</v>
      </c>
      <c r="E155" s="2" t="s">
        <v>721</v>
      </c>
      <c r="F155" s="2" t="s">
        <v>722</v>
      </c>
      <c r="G155" s="2" t="s">
        <v>723</v>
      </c>
      <c r="H155" s="3" t="s">
        <v>724</v>
      </c>
      <c r="I155" s="2" t="s">
        <v>815</v>
      </c>
      <c r="J155" s="3" t="s">
        <v>816</v>
      </c>
      <c r="K155" s="2" t="s">
        <v>822</v>
      </c>
      <c r="L155" s="3" t="s">
        <v>823</v>
      </c>
      <c r="N155" s="4" t="s">
        <v>38</v>
      </c>
      <c r="O155" s="4" t="s">
        <v>311</v>
      </c>
      <c r="Q155" s="4" t="s">
        <v>311</v>
      </c>
      <c r="R155" s="2" t="s">
        <v>747</v>
      </c>
      <c r="S155" s="2" t="s">
        <v>40</v>
      </c>
      <c r="T155" s="3" t="s">
        <v>732</v>
      </c>
      <c r="U155" s="2" t="s">
        <v>42</v>
      </c>
      <c r="V155" s="2" t="s">
        <v>43</v>
      </c>
      <c r="Y155" s="2" t="str">
        <f>VLOOKUP(C155,[1]Cat_Objetos!$C$4:$C$346,1,FALSE)</f>
        <v>Manual del sistema para la difusión</v>
      </c>
    </row>
    <row r="156" spans="1:25" ht="29.15" x14ac:dyDescent="0.4">
      <c r="A156" s="4">
        <f t="shared" si="2"/>
        <v>153</v>
      </c>
      <c r="B156" s="2" t="s">
        <v>824</v>
      </c>
      <c r="C156" s="3" t="s">
        <v>825</v>
      </c>
      <c r="D156" s="2" t="s">
        <v>826</v>
      </c>
      <c r="E156" s="2" t="s">
        <v>721</v>
      </c>
      <c r="F156" s="2" t="s">
        <v>722</v>
      </c>
      <c r="G156" s="2" t="s">
        <v>723</v>
      </c>
      <c r="H156" s="3" t="s">
        <v>724</v>
      </c>
      <c r="I156" s="2" t="s">
        <v>827</v>
      </c>
      <c r="J156" s="3" t="s">
        <v>828</v>
      </c>
      <c r="K156" s="2" t="s">
        <v>829</v>
      </c>
      <c r="L156" s="3" t="s">
        <v>830</v>
      </c>
      <c r="N156" s="4" t="s">
        <v>38</v>
      </c>
      <c r="O156" s="4" t="s">
        <v>38</v>
      </c>
      <c r="Q156" s="4" t="s">
        <v>38</v>
      </c>
      <c r="R156" s="2" t="s">
        <v>729</v>
      </c>
      <c r="S156" s="2" t="s">
        <v>40</v>
      </c>
      <c r="T156" s="3" t="s">
        <v>732</v>
      </c>
      <c r="U156" s="2" t="s">
        <v>42</v>
      </c>
      <c r="V156" s="2" t="s">
        <v>43</v>
      </c>
      <c r="Y156" s="2" t="str">
        <f>VLOOKUP(C156,[1]Cat_Objetos!$C$4:$C$346,1,FALSE)</f>
        <v>Sistema para la gestión de flujo de trabajo</v>
      </c>
    </row>
    <row r="157" spans="1:25" ht="43.75" x14ac:dyDescent="0.4">
      <c r="A157" s="4">
        <f t="shared" si="2"/>
        <v>154</v>
      </c>
      <c r="B157" s="2" t="s">
        <v>831</v>
      </c>
      <c r="C157" s="3" t="s">
        <v>832</v>
      </c>
      <c r="D157" s="2" t="s">
        <v>833</v>
      </c>
      <c r="E157" s="2" t="s">
        <v>721</v>
      </c>
      <c r="F157" s="2" t="s">
        <v>722</v>
      </c>
      <c r="G157" s="2" t="s">
        <v>723</v>
      </c>
      <c r="H157" s="3" t="s">
        <v>724</v>
      </c>
      <c r="I157" s="2" t="s">
        <v>827</v>
      </c>
      <c r="J157" s="3" t="s">
        <v>828</v>
      </c>
      <c r="K157" s="2" t="s">
        <v>834</v>
      </c>
      <c r="L157" s="3" t="s">
        <v>835</v>
      </c>
      <c r="N157" s="4" t="s">
        <v>38</v>
      </c>
      <c r="O157" s="4" t="s">
        <v>311</v>
      </c>
      <c r="Q157" s="4" t="s">
        <v>311</v>
      </c>
      <c r="R157" s="2" t="s">
        <v>836</v>
      </c>
      <c r="S157" s="2" t="s">
        <v>40</v>
      </c>
      <c r="T157" s="3" t="s">
        <v>732</v>
      </c>
      <c r="U157" s="2" t="s">
        <v>42</v>
      </c>
      <c r="V157" s="2" t="s">
        <v>43</v>
      </c>
      <c r="Y157" s="2" t="str">
        <f>VLOOKUP(C157,[1]Cat_Objetos!$C$4:$C$346,1,FALSE)</f>
        <v>Manual del sistema para la gestión de flujo de trabajo</v>
      </c>
    </row>
    <row r="158" spans="1:25" ht="29.15" x14ac:dyDescent="0.4">
      <c r="A158" s="4">
        <f t="shared" si="2"/>
        <v>155</v>
      </c>
      <c r="B158" s="13" t="s">
        <v>837</v>
      </c>
      <c r="C158" s="3" t="s">
        <v>838</v>
      </c>
      <c r="E158" s="2" t="s">
        <v>721</v>
      </c>
      <c r="F158" s="2" t="s">
        <v>722</v>
      </c>
      <c r="G158" s="2" t="s">
        <v>839</v>
      </c>
      <c r="H158" s="3" t="s">
        <v>840</v>
      </c>
      <c r="I158" s="2" t="s">
        <v>841</v>
      </c>
      <c r="J158" s="3" t="s">
        <v>842</v>
      </c>
      <c r="K158" s="2" t="s">
        <v>843</v>
      </c>
      <c r="L158" s="3" t="s">
        <v>844</v>
      </c>
      <c r="N158" s="4" t="s">
        <v>38</v>
      </c>
      <c r="O158" s="4" t="s">
        <v>38</v>
      </c>
      <c r="Q158" s="4" t="s">
        <v>38</v>
      </c>
      <c r="R158" s="2" t="s">
        <v>845</v>
      </c>
      <c r="S158" s="2" t="s">
        <v>40</v>
      </c>
      <c r="T158" s="3" t="s">
        <v>266</v>
      </c>
      <c r="U158" s="2" t="s">
        <v>42</v>
      </c>
      <c r="V158" s="2" t="s">
        <v>43</v>
      </c>
      <c r="Y158" s="2" t="str">
        <f>VLOOKUP(C158,[1]Cat_Objetos!$C$4:$C$346,1,FALSE)</f>
        <v>Documentación de las pruebas del sistema para la captación</v>
      </c>
    </row>
    <row r="159" spans="1:25" ht="29.15" x14ac:dyDescent="0.4">
      <c r="A159" s="4">
        <f t="shared" si="2"/>
        <v>156</v>
      </c>
      <c r="B159" s="13" t="s">
        <v>846</v>
      </c>
      <c r="C159" s="3" t="s">
        <v>847</v>
      </c>
      <c r="E159" s="2" t="s">
        <v>721</v>
      </c>
      <c r="F159" s="2" t="s">
        <v>722</v>
      </c>
      <c r="G159" s="2" t="s">
        <v>839</v>
      </c>
      <c r="H159" s="3" t="s">
        <v>840</v>
      </c>
      <c r="I159" s="2" t="s">
        <v>841</v>
      </c>
      <c r="J159" s="3" t="s">
        <v>842</v>
      </c>
      <c r="K159" s="2" t="s">
        <v>848</v>
      </c>
      <c r="L159" s="3" t="s">
        <v>849</v>
      </c>
      <c r="N159" s="4" t="s">
        <v>38</v>
      </c>
      <c r="O159" s="4" t="s">
        <v>38</v>
      </c>
      <c r="Q159" s="4" t="s">
        <v>38</v>
      </c>
      <c r="R159" s="2" t="s">
        <v>845</v>
      </c>
      <c r="S159" s="2" t="s">
        <v>40</v>
      </c>
      <c r="T159" s="3" t="s">
        <v>266</v>
      </c>
      <c r="U159" s="2" t="s">
        <v>42</v>
      </c>
      <c r="V159" s="2" t="s">
        <v>43</v>
      </c>
      <c r="Y159" s="2" t="str">
        <f>VLOOKUP(C159,[1]Cat_Objetos!$C$4:$C$346,1,FALSE)</f>
        <v>Documentación de las pruebas del sistema para la codificación</v>
      </c>
    </row>
    <row r="160" spans="1:25" ht="29.15" x14ac:dyDescent="0.4">
      <c r="A160" s="4">
        <f t="shared" si="2"/>
        <v>157</v>
      </c>
      <c r="B160" s="13" t="s">
        <v>850</v>
      </c>
      <c r="C160" s="3" t="s">
        <v>851</v>
      </c>
      <c r="E160" s="2" t="s">
        <v>721</v>
      </c>
      <c r="F160" s="2" t="s">
        <v>722</v>
      </c>
      <c r="G160" s="2" t="s">
        <v>839</v>
      </c>
      <c r="H160" s="3" t="s">
        <v>840</v>
      </c>
      <c r="I160" s="2" t="s">
        <v>841</v>
      </c>
      <c r="J160" s="3" t="s">
        <v>842</v>
      </c>
      <c r="K160" s="2" t="s">
        <v>848</v>
      </c>
      <c r="L160" s="3" t="s">
        <v>849</v>
      </c>
      <c r="N160" s="4" t="s">
        <v>38</v>
      </c>
      <c r="O160" s="4" t="s">
        <v>38</v>
      </c>
      <c r="Q160" s="4" t="s">
        <v>311</v>
      </c>
      <c r="R160" s="2" t="s">
        <v>845</v>
      </c>
      <c r="S160" s="2" t="s">
        <v>40</v>
      </c>
      <c r="T160" s="3" t="s">
        <v>266</v>
      </c>
      <c r="U160" s="2" t="s">
        <v>42</v>
      </c>
      <c r="V160" s="2" t="s">
        <v>43</v>
      </c>
      <c r="Y160" s="2" t="str">
        <f>VLOOKUP(C160,[1]Cat_Objetos!$C$4:$C$346,1,FALSE)</f>
        <v>Documentación de las pruebas del sistema para el cálculo y calibración de ponderadores</v>
      </c>
    </row>
    <row r="161" spans="1:25" ht="29.15" x14ac:dyDescent="0.4">
      <c r="A161" s="4">
        <f t="shared" si="2"/>
        <v>158</v>
      </c>
      <c r="B161" s="13" t="s">
        <v>852</v>
      </c>
      <c r="C161" s="3" t="s">
        <v>853</v>
      </c>
      <c r="E161" s="2" t="s">
        <v>721</v>
      </c>
      <c r="F161" s="2" t="s">
        <v>722</v>
      </c>
      <c r="G161" s="2" t="s">
        <v>839</v>
      </c>
      <c r="H161" s="3" t="s">
        <v>840</v>
      </c>
      <c r="I161" s="2" t="s">
        <v>841</v>
      </c>
      <c r="J161" s="3" t="s">
        <v>842</v>
      </c>
      <c r="K161" s="2" t="s">
        <v>848</v>
      </c>
      <c r="L161" s="3" t="s">
        <v>849</v>
      </c>
      <c r="N161" s="4" t="s">
        <v>38</v>
      </c>
      <c r="O161" s="4" t="s">
        <v>38</v>
      </c>
      <c r="Q161" s="4" t="s">
        <v>38</v>
      </c>
      <c r="R161" s="2" t="s">
        <v>845</v>
      </c>
      <c r="S161" s="2" t="s">
        <v>40</v>
      </c>
      <c r="T161" s="3" t="s">
        <v>266</v>
      </c>
      <c r="U161" s="2" t="s">
        <v>42</v>
      </c>
      <c r="V161" s="2" t="s">
        <v>43</v>
      </c>
      <c r="Y161" s="2" t="str">
        <f>VLOOKUP(C161,[1]Cat_Objetos!$C$4:$C$346,1,FALSE)</f>
        <v>Documentación de las pruebas del sistema para la validación, edición e imputación</v>
      </c>
    </row>
    <row r="162" spans="1:25" ht="29.15" x14ac:dyDescent="0.4">
      <c r="A162" s="4">
        <f t="shared" si="2"/>
        <v>159</v>
      </c>
      <c r="B162" s="13" t="s">
        <v>854</v>
      </c>
      <c r="C162" s="3" t="s">
        <v>855</v>
      </c>
      <c r="E162" s="2" t="s">
        <v>721</v>
      </c>
      <c r="F162" s="2" t="s">
        <v>722</v>
      </c>
      <c r="G162" s="2" t="s">
        <v>839</v>
      </c>
      <c r="H162" s="3" t="s">
        <v>840</v>
      </c>
      <c r="I162" s="2" t="s">
        <v>841</v>
      </c>
      <c r="J162" s="3" t="s">
        <v>842</v>
      </c>
      <c r="K162" s="2" t="s">
        <v>848</v>
      </c>
      <c r="L162" s="3" t="s">
        <v>849</v>
      </c>
      <c r="N162" s="4" t="s">
        <v>38</v>
      </c>
      <c r="O162" s="4" t="s">
        <v>38</v>
      </c>
      <c r="Q162" s="4" t="s">
        <v>38</v>
      </c>
      <c r="R162" s="2" t="s">
        <v>845</v>
      </c>
      <c r="S162" s="2" t="s">
        <v>40</v>
      </c>
      <c r="T162" s="3" t="s">
        <v>266</v>
      </c>
      <c r="U162" s="2" t="s">
        <v>42</v>
      </c>
      <c r="V162" s="2" t="s">
        <v>43</v>
      </c>
      <c r="Y162" s="2" t="str">
        <f>VLOOKUP(C162,[1]Cat_Objetos!$C$4:$C$346,1,FALSE)</f>
        <v>Documentación de las pruebas del sistema para nuevas variables o unidades</v>
      </c>
    </row>
    <row r="163" spans="1:25" ht="29.15" x14ac:dyDescent="0.4">
      <c r="A163" s="4">
        <f t="shared" si="2"/>
        <v>160</v>
      </c>
      <c r="B163" s="13" t="s">
        <v>856</v>
      </c>
      <c r="C163" s="3" t="s">
        <v>857</v>
      </c>
      <c r="E163" s="2" t="s">
        <v>721</v>
      </c>
      <c r="F163" s="2" t="s">
        <v>722</v>
      </c>
      <c r="G163" s="2" t="s">
        <v>839</v>
      </c>
      <c r="H163" s="3" t="s">
        <v>840</v>
      </c>
      <c r="I163" s="2" t="s">
        <v>841</v>
      </c>
      <c r="J163" s="3" t="s">
        <v>842</v>
      </c>
      <c r="K163" s="2" t="s">
        <v>848</v>
      </c>
      <c r="L163" s="3" t="s">
        <v>849</v>
      </c>
      <c r="N163" s="4" t="s">
        <v>38</v>
      </c>
      <c r="O163" s="4" t="s">
        <v>38</v>
      </c>
      <c r="Q163" s="4" t="s">
        <v>38</v>
      </c>
      <c r="R163" s="2" t="s">
        <v>845</v>
      </c>
      <c r="S163" s="2" t="s">
        <v>40</v>
      </c>
      <c r="T163" s="3" t="s">
        <v>266</v>
      </c>
      <c r="U163" s="2" t="s">
        <v>42</v>
      </c>
      <c r="V163" s="2" t="s">
        <v>43</v>
      </c>
      <c r="Y163" s="2" t="str">
        <f>VLOOKUP(C163,[1]Cat_Objetos!$C$4:$C$346,1,FALSE)</f>
        <v>Documentación de las pruebas del sistema para el cálculo de agregaciones y medidas estadísticas</v>
      </c>
    </row>
    <row r="164" spans="1:25" ht="29.15" x14ac:dyDescent="0.4">
      <c r="A164" s="4">
        <f t="shared" si="2"/>
        <v>161</v>
      </c>
      <c r="B164" s="13" t="s">
        <v>858</v>
      </c>
      <c r="C164" s="3" t="s">
        <v>859</v>
      </c>
      <c r="E164" s="2" t="s">
        <v>721</v>
      </c>
      <c r="F164" s="2" t="s">
        <v>722</v>
      </c>
      <c r="G164" s="2" t="s">
        <v>839</v>
      </c>
      <c r="H164" s="3" t="s">
        <v>840</v>
      </c>
      <c r="I164" s="2" t="s">
        <v>841</v>
      </c>
      <c r="J164" s="3" t="s">
        <v>842</v>
      </c>
      <c r="K164" s="2" t="s">
        <v>860</v>
      </c>
      <c r="L164" s="3" t="s">
        <v>861</v>
      </c>
      <c r="N164" s="4" t="s">
        <v>38</v>
      </c>
      <c r="O164" s="4" t="s">
        <v>38</v>
      </c>
      <c r="Q164" s="4" t="s">
        <v>38</v>
      </c>
      <c r="R164" s="2" t="s">
        <v>845</v>
      </c>
      <c r="S164" s="2" t="s">
        <v>40</v>
      </c>
      <c r="T164" s="3" t="s">
        <v>266</v>
      </c>
      <c r="U164" s="2" t="s">
        <v>42</v>
      </c>
      <c r="V164" s="2" t="s">
        <v>43</v>
      </c>
      <c r="Y164" s="2" t="str">
        <f>VLOOKUP(C164,[1]Cat_Objetos!$C$4:$C$346,1,FALSE)</f>
        <v>Documentación de las pruebas del sistema para el análisis de la producción</v>
      </c>
    </row>
    <row r="165" spans="1:25" ht="29.15" x14ac:dyDescent="0.4">
      <c r="A165" s="4">
        <f t="shared" si="2"/>
        <v>162</v>
      </c>
      <c r="B165" s="13" t="s">
        <v>862</v>
      </c>
      <c r="C165" s="3" t="s">
        <v>863</v>
      </c>
      <c r="E165" s="2" t="s">
        <v>721</v>
      </c>
      <c r="F165" s="2" t="s">
        <v>722</v>
      </c>
      <c r="G165" s="2" t="s">
        <v>839</v>
      </c>
      <c r="H165" s="3" t="s">
        <v>840</v>
      </c>
      <c r="I165" s="2" t="s">
        <v>841</v>
      </c>
      <c r="J165" s="3" t="s">
        <v>842</v>
      </c>
      <c r="K165" s="2" t="s">
        <v>864</v>
      </c>
      <c r="L165" s="3" t="s">
        <v>865</v>
      </c>
      <c r="N165" s="4" t="s">
        <v>38</v>
      </c>
      <c r="O165" s="4" t="s">
        <v>38</v>
      </c>
      <c r="Q165" s="4" t="s">
        <v>38</v>
      </c>
      <c r="R165" s="2" t="s">
        <v>845</v>
      </c>
      <c r="S165" s="2" t="s">
        <v>40</v>
      </c>
      <c r="T165" s="3" t="s">
        <v>266</v>
      </c>
      <c r="U165" s="2" t="s">
        <v>42</v>
      </c>
      <c r="V165" s="2" t="s">
        <v>43</v>
      </c>
      <c r="Y165" s="2" t="str">
        <f>VLOOKUP(C165,[1]Cat_Objetos!$C$4:$C$346,1,FALSE)</f>
        <v>Documentación de las pruebas del sistema para la difusión</v>
      </c>
    </row>
    <row r="166" spans="1:25" ht="29.15" x14ac:dyDescent="0.4">
      <c r="A166" s="4">
        <f t="shared" si="2"/>
        <v>163</v>
      </c>
      <c r="B166" s="13" t="s">
        <v>866</v>
      </c>
      <c r="C166" s="3" t="s">
        <v>867</v>
      </c>
      <c r="E166" s="2" t="s">
        <v>721</v>
      </c>
      <c r="F166" s="2" t="s">
        <v>722</v>
      </c>
      <c r="G166" s="2" t="s">
        <v>839</v>
      </c>
      <c r="H166" s="3" t="s">
        <v>840</v>
      </c>
      <c r="I166" s="2" t="s">
        <v>841</v>
      </c>
      <c r="J166" s="3" t="s">
        <v>842</v>
      </c>
      <c r="K166" s="2" t="s">
        <v>868</v>
      </c>
      <c r="L166" s="3" t="s">
        <v>869</v>
      </c>
      <c r="N166" s="4" t="s">
        <v>38</v>
      </c>
      <c r="O166" s="4" t="s">
        <v>38</v>
      </c>
      <c r="Q166" s="4" t="s">
        <v>38</v>
      </c>
      <c r="R166" s="2" t="s">
        <v>845</v>
      </c>
      <c r="S166" s="2" t="s">
        <v>40</v>
      </c>
      <c r="T166" s="3" t="s">
        <v>266</v>
      </c>
      <c r="U166" s="2" t="s">
        <v>42</v>
      </c>
      <c r="V166" s="2" t="s">
        <v>43</v>
      </c>
      <c r="Y166" s="2" t="str">
        <f>VLOOKUP(C166,[1]Cat_Objetos!$C$4:$C$346,1,FALSE)</f>
        <v>Documentación de las pruebas del sistema para la gestión de flujo de trabajo</v>
      </c>
    </row>
    <row r="167" spans="1:25" ht="29.15" x14ac:dyDescent="0.4">
      <c r="A167" s="4">
        <f t="shared" si="2"/>
        <v>164</v>
      </c>
      <c r="B167" s="13" t="s">
        <v>870</v>
      </c>
      <c r="C167" s="3" t="s">
        <v>871</v>
      </c>
      <c r="D167" s="2" t="s">
        <v>872</v>
      </c>
      <c r="E167" s="2" t="s">
        <v>721</v>
      </c>
      <c r="F167" s="2" t="s">
        <v>722</v>
      </c>
      <c r="G167" s="2" t="s">
        <v>839</v>
      </c>
      <c r="H167" s="3" t="s">
        <v>840</v>
      </c>
      <c r="I167" s="2" t="s">
        <v>841</v>
      </c>
      <c r="J167" s="3" t="s">
        <v>842</v>
      </c>
      <c r="K167" s="2" t="s">
        <v>873</v>
      </c>
      <c r="L167" s="3" t="s">
        <v>874</v>
      </c>
      <c r="N167" s="4" t="s">
        <v>311</v>
      </c>
      <c r="O167" s="4" t="s">
        <v>38</v>
      </c>
      <c r="Q167" s="4" t="s">
        <v>38</v>
      </c>
      <c r="R167" s="2" t="s">
        <v>845</v>
      </c>
      <c r="S167" s="2" t="s">
        <v>40</v>
      </c>
      <c r="T167" s="3" t="s">
        <v>266</v>
      </c>
      <c r="U167" s="2" t="s">
        <v>42</v>
      </c>
      <c r="V167" s="2" t="s">
        <v>43</v>
      </c>
      <c r="Y167" s="2" t="str">
        <f>VLOOKUP(C167,[1]Cat_Objetos!$C$4:$C$346,1,FALSE)</f>
        <v>Documentación integrada de las pruebas de los sistemas para la producción</v>
      </c>
    </row>
    <row r="168" spans="1:25" ht="29.15" x14ac:dyDescent="0.4">
      <c r="A168" s="4">
        <f t="shared" si="2"/>
        <v>165</v>
      </c>
      <c r="B168" s="13" t="s">
        <v>875</v>
      </c>
      <c r="C168" s="3" t="s">
        <v>876</v>
      </c>
      <c r="E168" s="2" t="s">
        <v>721</v>
      </c>
      <c r="F168" s="2" t="s">
        <v>722</v>
      </c>
      <c r="G168" s="2" t="s">
        <v>877</v>
      </c>
      <c r="H168" s="3" t="s">
        <v>878</v>
      </c>
      <c r="I168" s="2" t="s">
        <v>879</v>
      </c>
      <c r="J168" s="3" t="s">
        <v>880</v>
      </c>
      <c r="K168" s="2" t="s">
        <v>881</v>
      </c>
      <c r="L168" s="3" t="s">
        <v>882</v>
      </c>
      <c r="N168" s="4" t="s">
        <v>38</v>
      </c>
      <c r="O168" s="4" t="s">
        <v>38</v>
      </c>
      <c r="Q168" s="4" t="s">
        <v>311</v>
      </c>
      <c r="R168" s="2" t="s">
        <v>845</v>
      </c>
      <c r="S168" s="2" t="s">
        <v>40</v>
      </c>
      <c r="T168" s="3" t="s">
        <v>406</v>
      </c>
      <c r="U168" s="2" t="s">
        <v>42</v>
      </c>
      <c r="V168" s="2" t="s">
        <v>43</v>
      </c>
      <c r="Y168" s="2" t="str">
        <f>VLOOKUP(C168,[1]Cat_Objetos!$C$4:$C$346,1,FALSE)</f>
        <v>Tramos de control de la prueba de campo o piloto</v>
      </c>
    </row>
    <row r="169" spans="1:25" ht="29.15" x14ac:dyDescent="0.4">
      <c r="A169" s="4">
        <f t="shared" si="2"/>
        <v>166</v>
      </c>
      <c r="B169" s="13" t="s">
        <v>883</v>
      </c>
      <c r="C169" s="3" t="s">
        <v>884</v>
      </c>
      <c r="E169" s="2" t="s">
        <v>721</v>
      </c>
      <c r="F169" s="2" t="s">
        <v>722</v>
      </c>
      <c r="G169" s="2" t="s">
        <v>877</v>
      </c>
      <c r="H169" s="3" t="s">
        <v>878</v>
      </c>
      <c r="I169" s="2" t="s">
        <v>879</v>
      </c>
      <c r="J169" s="3" t="s">
        <v>880</v>
      </c>
      <c r="K169" s="2" t="s">
        <v>881</v>
      </c>
      <c r="L169" s="3" t="s">
        <v>882</v>
      </c>
      <c r="N169" s="4" t="s">
        <v>38</v>
      </c>
      <c r="O169" s="4" t="s">
        <v>38</v>
      </c>
      <c r="Q169" s="4" t="s">
        <v>311</v>
      </c>
      <c r="R169" s="2" t="s">
        <v>885</v>
      </c>
      <c r="S169" s="2" t="s">
        <v>40</v>
      </c>
      <c r="T169" s="3" t="s">
        <v>546</v>
      </c>
      <c r="U169" s="2" t="s">
        <v>42</v>
      </c>
      <c r="V169" s="2" t="s">
        <v>43</v>
      </c>
      <c r="Y169" s="2" t="str">
        <f>VLOOKUP(C169,[1]Cat_Objetos!$C$4:$C$346,1,FALSE)</f>
        <v>Muestra para la prueba</v>
      </c>
    </row>
    <row r="170" spans="1:25" ht="29.15" x14ac:dyDescent="0.4">
      <c r="A170" s="4">
        <f t="shared" si="2"/>
        <v>167</v>
      </c>
      <c r="B170" s="13" t="s">
        <v>886</v>
      </c>
      <c r="C170" s="3" t="s">
        <v>887</v>
      </c>
      <c r="E170" s="2" t="s">
        <v>721</v>
      </c>
      <c r="F170" s="2" t="s">
        <v>722</v>
      </c>
      <c r="G170" s="2" t="s">
        <v>877</v>
      </c>
      <c r="H170" s="3" t="s">
        <v>878</v>
      </c>
      <c r="I170" s="2" t="s">
        <v>879</v>
      </c>
      <c r="J170" s="3" t="s">
        <v>880</v>
      </c>
      <c r="K170" s="2" t="s">
        <v>881</v>
      </c>
      <c r="L170" s="3" t="s">
        <v>882</v>
      </c>
      <c r="N170" s="4" t="s">
        <v>38</v>
      </c>
      <c r="O170" s="4" t="s">
        <v>311</v>
      </c>
      <c r="Q170" s="4" t="s">
        <v>311</v>
      </c>
      <c r="R170" s="2" t="s">
        <v>885</v>
      </c>
      <c r="S170" s="2" t="s">
        <v>40</v>
      </c>
      <c r="T170" s="3" t="s">
        <v>546</v>
      </c>
      <c r="U170" s="2" t="s">
        <v>42</v>
      </c>
      <c r="V170" s="2" t="s">
        <v>43</v>
      </c>
      <c r="Y170" s="2" t="str">
        <f>VLOOKUP(C170,[1]Cat_Objetos!$C$4:$C$346,1,FALSE)</f>
        <v>Muestra para la prueba de campo o piloto</v>
      </c>
    </row>
    <row r="171" spans="1:25" ht="29.15" x14ac:dyDescent="0.4">
      <c r="A171" s="4">
        <f t="shared" si="2"/>
        <v>168</v>
      </c>
      <c r="B171" s="13" t="s">
        <v>888</v>
      </c>
      <c r="C171" s="3" t="s">
        <v>889</v>
      </c>
      <c r="E171" s="2" t="s">
        <v>721</v>
      </c>
      <c r="F171" s="2" t="s">
        <v>722</v>
      </c>
      <c r="G171" s="2" t="s">
        <v>877</v>
      </c>
      <c r="H171" s="3" t="s">
        <v>878</v>
      </c>
      <c r="I171" s="2" t="s">
        <v>879</v>
      </c>
      <c r="J171" s="3" t="s">
        <v>880</v>
      </c>
      <c r="K171" s="2" t="s">
        <v>890</v>
      </c>
      <c r="L171" s="3" t="s">
        <v>891</v>
      </c>
      <c r="N171" s="4" t="s">
        <v>38</v>
      </c>
      <c r="O171" s="4" t="s">
        <v>38</v>
      </c>
      <c r="Q171" s="4" t="s">
        <v>311</v>
      </c>
      <c r="R171" s="2" t="s">
        <v>845</v>
      </c>
      <c r="S171" s="2" t="s">
        <v>40</v>
      </c>
      <c r="T171" s="3" t="s">
        <v>76</v>
      </c>
      <c r="U171" s="2" t="s">
        <v>42</v>
      </c>
      <c r="V171" s="2" t="s">
        <v>43</v>
      </c>
      <c r="Y171" s="2" t="str">
        <f>VLOOKUP(C171,[1]Cat_Objetos!$C$4:$C$346,1,FALSE)</f>
        <v>Resultados de la evaluación de la capacitación de la prueba de campo o piloto</v>
      </c>
    </row>
    <row r="172" spans="1:25" ht="29.15" x14ac:dyDescent="0.4">
      <c r="A172" s="4">
        <f t="shared" si="2"/>
        <v>169</v>
      </c>
      <c r="B172" s="13" t="s">
        <v>892</v>
      </c>
      <c r="C172" s="3" t="s">
        <v>893</v>
      </c>
      <c r="E172" s="2" t="s">
        <v>721</v>
      </c>
      <c r="F172" s="2" t="s">
        <v>722</v>
      </c>
      <c r="G172" s="2" t="s">
        <v>877</v>
      </c>
      <c r="H172" s="3" t="s">
        <v>878</v>
      </c>
      <c r="I172" s="2" t="s">
        <v>879</v>
      </c>
      <c r="J172" s="3" t="s">
        <v>880</v>
      </c>
      <c r="K172" s="2" t="s">
        <v>894</v>
      </c>
      <c r="L172" s="3" t="s">
        <v>895</v>
      </c>
      <c r="N172" s="4" t="s">
        <v>38</v>
      </c>
      <c r="O172" s="4" t="s">
        <v>38</v>
      </c>
      <c r="Q172" s="4" t="s">
        <v>311</v>
      </c>
      <c r="R172" s="2" t="s">
        <v>885</v>
      </c>
      <c r="S172" s="2" t="s">
        <v>40</v>
      </c>
      <c r="T172" s="3" t="s">
        <v>406</v>
      </c>
      <c r="U172" s="2" t="s">
        <v>42</v>
      </c>
      <c r="V172" s="2" t="s">
        <v>43</v>
      </c>
      <c r="Y172" s="2" t="str">
        <f>VLOOKUP(C172,[1]Cat_Objetos!$C$4:$C$346,1,FALSE)</f>
        <v>Logística de la prueba de campo o piloto</v>
      </c>
    </row>
    <row r="173" spans="1:25" ht="29.15" x14ac:dyDescent="0.4">
      <c r="A173" s="4">
        <f t="shared" si="2"/>
        <v>170</v>
      </c>
      <c r="B173" s="13" t="s">
        <v>896</v>
      </c>
      <c r="C173" s="3" t="s">
        <v>897</v>
      </c>
      <c r="E173" s="2" t="s">
        <v>721</v>
      </c>
      <c r="F173" s="2" t="s">
        <v>722</v>
      </c>
      <c r="G173" s="2" t="s">
        <v>877</v>
      </c>
      <c r="H173" s="3" t="s">
        <v>878</v>
      </c>
      <c r="I173" s="2" t="s">
        <v>898</v>
      </c>
      <c r="J173" s="3" t="s">
        <v>899</v>
      </c>
      <c r="K173" s="2" t="s">
        <v>900</v>
      </c>
      <c r="L173" s="3" t="s">
        <v>901</v>
      </c>
      <c r="N173" s="4" t="s">
        <v>38</v>
      </c>
      <c r="O173" s="4" t="s">
        <v>38</v>
      </c>
      <c r="Q173" s="4" t="s">
        <v>311</v>
      </c>
      <c r="R173" s="2" t="s">
        <v>902</v>
      </c>
      <c r="S173" s="2" t="s">
        <v>40</v>
      </c>
      <c r="T173" s="3" t="s">
        <v>266</v>
      </c>
      <c r="U173" s="2" t="s">
        <v>42</v>
      </c>
      <c r="V173" s="2" t="s">
        <v>43</v>
      </c>
      <c r="Y173" s="2" t="str">
        <f>VLOOKUP(C173,[1]Cat_Objetos!$C$4:$C$346,1,FALSE)</f>
        <v>Documentación del levantamiento de la prueba de campo o piloto</v>
      </c>
    </row>
    <row r="174" spans="1:25" ht="29.15" x14ac:dyDescent="0.4">
      <c r="A174" s="4">
        <f t="shared" si="2"/>
        <v>171</v>
      </c>
      <c r="B174" s="13" t="s">
        <v>903</v>
      </c>
      <c r="C174" s="3" t="s">
        <v>904</v>
      </c>
      <c r="E174" s="2" t="s">
        <v>721</v>
      </c>
      <c r="F174" s="2" t="s">
        <v>722</v>
      </c>
      <c r="G174" s="2" t="s">
        <v>877</v>
      </c>
      <c r="H174" s="3" t="s">
        <v>878</v>
      </c>
      <c r="I174" s="2" t="s">
        <v>898</v>
      </c>
      <c r="J174" s="3" t="s">
        <v>899</v>
      </c>
      <c r="K174" s="2" t="s">
        <v>900</v>
      </c>
      <c r="L174" s="3" t="s">
        <v>901</v>
      </c>
      <c r="N174" s="4" t="s">
        <v>38</v>
      </c>
      <c r="O174" s="4" t="s">
        <v>38</v>
      </c>
      <c r="Q174" s="4" t="s">
        <v>311</v>
      </c>
      <c r="R174" s="2" t="s">
        <v>885</v>
      </c>
      <c r="S174" s="2" t="s">
        <v>40</v>
      </c>
      <c r="T174" s="3" t="s">
        <v>905</v>
      </c>
      <c r="U174" s="2" t="s">
        <v>42</v>
      </c>
      <c r="V174" s="2" t="s">
        <v>273</v>
      </c>
      <c r="Y174" s="2" t="str">
        <f>VLOOKUP(C174,[1]Cat_Objetos!$C$4:$C$346,1,FALSE)</f>
        <v>Datos captados de la prueba de campo o piloto</v>
      </c>
    </row>
    <row r="175" spans="1:25" ht="29.15" x14ac:dyDescent="0.4">
      <c r="A175" s="4">
        <f t="shared" si="2"/>
        <v>172</v>
      </c>
      <c r="B175" s="13" t="s">
        <v>906</v>
      </c>
      <c r="C175" s="3" t="s">
        <v>907</v>
      </c>
      <c r="E175" s="2" t="s">
        <v>721</v>
      </c>
      <c r="F175" s="2" t="s">
        <v>722</v>
      </c>
      <c r="G175" s="2" t="s">
        <v>877</v>
      </c>
      <c r="H175" s="3" t="s">
        <v>878</v>
      </c>
      <c r="I175" s="2" t="s">
        <v>898</v>
      </c>
      <c r="J175" s="3" t="s">
        <v>899</v>
      </c>
      <c r="K175" s="2" t="s">
        <v>908</v>
      </c>
      <c r="L175" s="3" t="s">
        <v>909</v>
      </c>
      <c r="N175" s="4" t="s">
        <v>38</v>
      </c>
      <c r="O175" s="4" t="s">
        <v>38</v>
      </c>
      <c r="Q175" s="4" t="s">
        <v>311</v>
      </c>
      <c r="R175" s="2" t="s">
        <v>845</v>
      </c>
      <c r="S175" s="2" t="s">
        <v>40</v>
      </c>
      <c r="T175" s="3" t="s">
        <v>266</v>
      </c>
      <c r="U175" s="2" t="s">
        <v>42</v>
      </c>
      <c r="V175" s="2" t="s">
        <v>43</v>
      </c>
      <c r="Y175" s="2" t="str">
        <f>VLOOKUP(C175,[1]Cat_Objetos!$C$4:$C$346,1,FALSE)</f>
        <v>Documentación del procesamiento de la prueba de campo o piloto</v>
      </c>
    </row>
    <row r="176" spans="1:25" ht="29.15" x14ac:dyDescent="0.4">
      <c r="A176" s="4">
        <f t="shared" si="2"/>
        <v>173</v>
      </c>
      <c r="B176" s="13" t="s">
        <v>910</v>
      </c>
      <c r="C176" s="3" t="s">
        <v>911</v>
      </c>
      <c r="E176" s="2" t="s">
        <v>721</v>
      </c>
      <c r="F176" s="2" t="s">
        <v>722</v>
      </c>
      <c r="G176" s="2" t="s">
        <v>877</v>
      </c>
      <c r="H176" s="3" t="s">
        <v>878</v>
      </c>
      <c r="I176" s="2" t="s">
        <v>898</v>
      </c>
      <c r="J176" s="3" t="s">
        <v>899</v>
      </c>
      <c r="K176" s="2" t="s">
        <v>908</v>
      </c>
      <c r="L176" s="3" t="s">
        <v>909</v>
      </c>
      <c r="N176" s="4" t="s">
        <v>38</v>
      </c>
      <c r="O176" s="4" t="s">
        <v>38</v>
      </c>
      <c r="Q176" s="4" t="s">
        <v>311</v>
      </c>
      <c r="R176" s="2" t="s">
        <v>845</v>
      </c>
      <c r="S176" s="2" t="s">
        <v>40</v>
      </c>
      <c r="T176" s="3" t="s">
        <v>905</v>
      </c>
      <c r="U176" s="2" t="s">
        <v>42</v>
      </c>
      <c r="V176" s="2" t="s">
        <v>273</v>
      </c>
      <c r="Y176" s="2" t="str">
        <f>VLOOKUP(C176,[1]Cat_Objetos!$C$4:$C$346,1,FALSE)</f>
        <v>Datos procesados de la prueba de campo o piloto</v>
      </c>
    </row>
    <row r="177" spans="1:25" ht="29.15" x14ac:dyDescent="0.4">
      <c r="A177" s="4">
        <f t="shared" si="2"/>
        <v>174</v>
      </c>
      <c r="B177" s="13" t="s">
        <v>912</v>
      </c>
      <c r="C177" s="3" t="s">
        <v>913</v>
      </c>
      <c r="E177" s="2" t="s">
        <v>721</v>
      </c>
      <c r="F177" s="2" t="s">
        <v>722</v>
      </c>
      <c r="G177" s="2" t="s">
        <v>877</v>
      </c>
      <c r="H177" s="3" t="s">
        <v>878</v>
      </c>
      <c r="I177" s="2" t="s">
        <v>898</v>
      </c>
      <c r="J177" s="3" t="s">
        <v>899</v>
      </c>
      <c r="K177" s="2" t="s">
        <v>914</v>
      </c>
      <c r="L177" s="3" t="s">
        <v>915</v>
      </c>
      <c r="N177" s="4" t="s">
        <v>38</v>
      </c>
      <c r="O177" s="4" t="s">
        <v>38</v>
      </c>
      <c r="Q177" s="4" t="s">
        <v>311</v>
      </c>
      <c r="R177" s="2" t="s">
        <v>902</v>
      </c>
      <c r="S177" s="2" t="s">
        <v>40</v>
      </c>
      <c r="T177" s="3" t="s">
        <v>266</v>
      </c>
      <c r="U177" s="2" t="s">
        <v>42</v>
      </c>
      <c r="V177" s="2" t="s">
        <v>43</v>
      </c>
      <c r="Y177" s="2" t="str">
        <f>VLOOKUP(C177,[1]Cat_Objetos!$C$4:$C$346,1,FALSE)</f>
        <v>Documentación del análisis de la producción de la prueba de campo o piloto</v>
      </c>
    </row>
    <row r="178" spans="1:25" ht="29.15" x14ac:dyDescent="0.4">
      <c r="A178" s="4">
        <f t="shared" si="2"/>
        <v>175</v>
      </c>
      <c r="B178" s="13" t="s">
        <v>916</v>
      </c>
      <c r="C178" s="3" t="s">
        <v>917</v>
      </c>
      <c r="E178" s="2" t="s">
        <v>721</v>
      </c>
      <c r="F178" s="2" t="s">
        <v>722</v>
      </c>
      <c r="G178" s="2" t="s">
        <v>877</v>
      </c>
      <c r="H178" s="3" t="s">
        <v>878</v>
      </c>
      <c r="I178" s="2" t="s">
        <v>898</v>
      </c>
      <c r="J178" s="3" t="s">
        <v>899</v>
      </c>
      <c r="K178" s="2" t="s">
        <v>914</v>
      </c>
      <c r="L178" s="3" t="s">
        <v>915</v>
      </c>
      <c r="N178" s="4" t="s">
        <v>38</v>
      </c>
      <c r="O178" s="4" t="s">
        <v>38</v>
      </c>
      <c r="Q178" s="4" t="s">
        <v>311</v>
      </c>
      <c r="R178" s="2" t="s">
        <v>902</v>
      </c>
      <c r="S178" s="2" t="s">
        <v>40</v>
      </c>
      <c r="T178" s="3" t="s">
        <v>905</v>
      </c>
      <c r="U178" s="2" t="s">
        <v>42</v>
      </c>
      <c r="V178" s="2" t="s">
        <v>273</v>
      </c>
      <c r="Y178" s="2" t="str">
        <f>VLOOKUP(C178,[1]Cat_Objetos!$C$4:$C$346,1,FALSE)</f>
        <v>Resultados de la prueba de campo o piloto</v>
      </c>
    </row>
    <row r="179" spans="1:25" ht="29.15" x14ac:dyDescent="0.4">
      <c r="A179" s="4">
        <f t="shared" si="2"/>
        <v>176</v>
      </c>
      <c r="B179" s="13" t="s">
        <v>918</v>
      </c>
      <c r="C179" s="3" t="s">
        <v>919</v>
      </c>
      <c r="E179" s="2" t="s">
        <v>721</v>
      </c>
      <c r="F179" s="2" t="s">
        <v>722</v>
      </c>
      <c r="G179" s="2" t="s">
        <v>877</v>
      </c>
      <c r="H179" s="3" t="s">
        <v>878</v>
      </c>
      <c r="I179" s="2" t="s">
        <v>920</v>
      </c>
      <c r="J179" s="3" t="s">
        <v>921</v>
      </c>
      <c r="K179" s="2" t="s">
        <v>922</v>
      </c>
      <c r="L179" s="3" t="s">
        <v>923</v>
      </c>
      <c r="N179" s="4" t="s">
        <v>38</v>
      </c>
      <c r="O179" s="4" t="s">
        <v>38</v>
      </c>
      <c r="Q179" s="4" t="s">
        <v>311</v>
      </c>
      <c r="R179" s="2" t="s">
        <v>902</v>
      </c>
      <c r="S179" s="2" t="s">
        <v>40</v>
      </c>
      <c r="T179" s="3" t="s">
        <v>76</v>
      </c>
      <c r="U179" s="2" t="s">
        <v>42</v>
      </c>
      <c r="V179" s="2" t="s">
        <v>43</v>
      </c>
      <c r="Y179" s="2" t="str">
        <f>VLOOKUP(C179,[1]Cat_Objetos!$C$4:$C$346,1,FALSE)</f>
        <v>Análisis de resultados de la prueba de campo o piloto</v>
      </c>
    </row>
    <row r="180" spans="1:25" ht="29.15" x14ac:dyDescent="0.4">
      <c r="A180" s="4">
        <f t="shared" si="2"/>
        <v>177</v>
      </c>
      <c r="B180" s="13" t="s">
        <v>924</v>
      </c>
      <c r="C180" s="3" t="s">
        <v>925</v>
      </c>
      <c r="E180" s="2" t="s">
        <v>721</v>
      </c>
      <c r="F180" s="2" t="s">
        <v>722</v>
      </c>
      <c r="G180" s="2" t="s">
        <v>877</v>
      </c>
      <c r="H180" s="3" t="s">
        <v>878</v>
      </c>
      <c r="I180" s="2" t="s">
        <v>920</v>
      </c>
      <c r="J180" s="3" t="s">
        <v>921</v>
      </c>
      <c r="K180" s="2" t="s">
        <v>926</v>
      </c>
      <c r="L180" s="3" t="s">
        <v>927</v>
      </c>
      <c r="N180" s="4" t="s">
        <v>38</v>
      </c>
      <c r="O180" s="4" t="s">
        <v>38</v>
      </c>
      <c r="Q180" s="4" t="s">
        <v>311</v>
      </c>
      <c r="R180" s="2" t="s">
        <v>902</v>
      </c>
      <c r="S180" s="2" t="s">
        <v>40</v>
      </c>
      <c r="T180" s="3" t="s">
        <v>266</v>
      </c>
      <c r="U180" s="2" t="s">
        <v>42</v>
      </c>
      <c r="V180" s="2" t="s">
        <v>43</v>
      </c>
      <c r="Y180" s="2" t="str">
        <f>VLOOKUP(C180,[1]Cat_Objetos!$C$4:$C$346,1,FALSE)</f>
        <v>Documentación de mejoras a los sistemas de producción</v>
      </c>
    </row>
    <row r="181" spans="1:25" ht="29.15" x14ac:dyDescent="0.4">
      <c r="A181" s="4">
        <f t="shared" si="2"/>
        <v>178</v>
      </c>
      <c r="B181" s="2" t="s">
        <v>928</v>
      </c>
      <c r="C181" s="3" t="s">
        <v>929</v>
      </c>
      <c r="E181" s="2" t="s">
        <v>721</v>
      </c>
      <c r="F181" s="2" t="s">
        <v>722</v>
      </c>
      <c r="G181" s="2" t="s">
        <v>930</v>
      </c>
      <c r="H181" s="3" t="s">
        <v>931</v>
      </c>
      <c r="I181" s="2" t="s">
        <v>932</v>
      </c>
      <c r="J181" s="3" t="s">
        <v>933</v>
      </c>
      <c r="K181" s="2" t="s">
        <v>934</v>
      </c>
      <c r="L181" s="3" t="s">
        <v>935</v>
      </c>
      <c r="N181" s="4" t="s">
        <v>38</v>
      </c>
      <c r="O181" s="4" t="s">
        <v>38</v>
      </c>
      <c r="Q181" s="4" t="s">
        <v>38</v>
      </c>
      <c r="R181" s="2" t="s">
        <v>936</v>
      </c>
      <c r="S181" s="2" t="s">
        <v>40</v>
      </c>
      <c r="T181" s="3" t="s">
        <v>95</v>
      </c>
      <c r="U181" s="2" t="s">
        <v>42</v>
      </c>
      <c r="V181" s="2" t="s">
        <v>43</v>
      </c>
      <c r="Y181" s="2" t="str">
        <f>VLOOKUP(C181,[1]Cat_Objetos!$C$4:$C$346,1,FALSE)</f>
        <v>Notificación y reporte del despliegue del sistema para la captación en el entorno de producción</v>
      </c>
    </row>
    <row r="182" spans="1:25" ht="29.15" x14ac:dyDescent="0.4">
      <c r="A182" s="4">
        <f t="shared" si="2"/>
        <v>179</v>
      </c>
      <c r="B182" s="2" t="s">
        <v>937</v>
      </c>
      <c r="C182" s="3" t="s">
        <v>938</v>
      </c>
      <c r="E182" s="2" t="s">
        <v>721</v>
      </c>
      <c r="F182" s="2" t="s">
        <v>722</v>
      </c>
      <c r="G182" s="2" t="s">
        <v>930</v>
      </c>
      <c r="H182" s="3" t="s">
        <v>931</v>
      </c>
      <c r="I182" s="2" t="s">
        <v>932</v>
      </c>
      <c r="J182" s="3" t="s">
        <v>933</v>
      </c>
      <c r="K182" s="2" t="s">
        <v>939</v>
      </c>
      <c r="L182" s="3" t="s">
        <v>940</v>
      </c>
      <c r="N182" s="4" t="s">
        <v>38</v>
      </c>
      <c r="O182" s="4" t="s">
        <v>38</v>
      </c>
      <c r="Q182" s="4" t="s">
        <v>38</v>
      </c>
      <c r="S182" s="2" t="s">
        <v>40</v>
      </c>
      <c r="T182" s="3" t="s">
        <v>95</v>
      </c>
      <c r="U182" s="2" t="s">
        <v>42</v>
      </c>
      <c r="V182" s="2" t="s">
        <v>43</v>
      </c>
      <c r="Y182" s="2" t="str">
        <f>VLOOKUP(C182,[1]Cat_Objetos!$C$4:$C$346,1,FALSE)</f>
        <v>Notificación y reporte del despliegue del sistema para la codificación</v>
      </c>
    </row>
    <row r="183" spans="1:25" ht="29.15" x14ac:dyDescent="0.4">
      <c r="A183" s="4">
        <f t="shared" si="2"/>
        <v>180</v>
      </c>
      <c r="B183" s="2" t="s">
        <v>941</v>
      </c>
      <c r="C183" s="3" t="s">
        <v>942</v>
      </c>
      <c r="E183" s="2" t="s">
        <v>721</v>
      </c>
      <c r="F183" s="2" t="s">
        <v>722</v>
      </c>
      <c r="G183" s="2" t="s">
        <v>930</v>
      </c>
      <c r="H183" s="3" t="s">
        <v>931</v>
      </c>
      <c r="I183" s="2" t="s">
        <v>932</v>
      </c>
      <c r="J183" s="3" t="s">
        <v>933</v>
      </c>
      <c r="K183" s="2" t="s">
        <v>943</v>
      </c>
      <c r="L183" s="3" t="s">
        <v>944</v>
      </c>
      <c r="N183" s="4" t="s">
        <v>38</v>
      </c>
      <c r="O183" s="4" t="s">
        <v>38</v>
      </c>
      <c r="Q183" s="4" t="s">
        <v>38</v>
      </c>
      <c r="S183" s="2" t="s">
        <v>40</v>
      </c>
      <c r="T183" s="3" t="s">
        <v>95</v>
      </c>
      <c r="U183" s="2" t="s">
        <v>42</v>
      </c>
      <c r="V183" s="2" t="s">
        <v>43</v>
      </c>
      <c r="Y183" s="2" t="str">
        <f>VLOOKUP(C183,[1]Cat_Objetos!$C$4:$C$346,1,FALSE)</f>
        <v>Notificación y reporte del despliegue del sistema para la validación, edición e imputación</v>
      </c>
    </row>
    <row r="184" spans="1:25" ht="29.15" x14ac:dyDescent="0.4">
      <c r="A184" s="4">
        <f t="shared" si="2"/>
        <v>181</v>
      </c>
      <c r="B184" s="2" t="s">
        <v>945</v>
      </c>
      <c r="C184" s="3" t="s">
        <v>946</v>
      </c>
      <c r="E184" s="2" t="s">
        <v>721</v>
      </c>
      <c r="F184" s="2" t="s">
        <v>722</v>
      </c>
      <c r="G184" s="2" t="s">
        <v>930</v>
      </c>
      <c r="H184" s="3" t="s">
        <v>931</v>
      </c>
      <c r="I184" s="2" t="s">
        <v>932</v>
      </c>
      <c r="J184" s="3" t="s">
        <v>933</v>
      </c>
      <c r="K184" s="2" t="s">
        <v>947</v>
      </c>
      <c r="L184" s="3" t="s">
        <v>948</v>
      </c>
      <c r="N184" s="4" t="s">
        <v>38</v>
      </c>
      <c r="O184" s="4" t="s">
        <v>38</v>
      </c>
      <c r="Q184" s="4" t="s">
        <v>38</v>
      </c>
      <c r="S184" s="2" t="s">
        <v>40</v>
      </c>
      <c r="T184" s="3" t="s">
        <v>95</v>
      </c>
      <c r="U184" s="2" t="s">
        <v>42</v>
      </c>
      <c r="V184" s="2" t="s">
        <v>43</v>
      </c>
      <c r="Y184" s="2" t="str">
        <f>VLOOKUP(C184,[1]Cat_Objetos!$C$4:$C$346,1,FALSE)</f>
        <v>Notificación y reporte del despliegue de otros sistemas para el procesamiento y análisis</v>
      </c>
    </row>
    <row r="185" spans="1:25" ht="29.15" x14ac:dyDescent="0.4">
      <c r="A185" s="4">
        <f t="shared" si="2"/>
        <v>182</v>
      </c>
      <c r="B185" s="2" t="s">
        <v>949</v>
      </c>
      <c r="C185" s="3" t="s">
        <v>950</v>
      </c>
      <c r="E185" s="2" t="s">
        <v>721</v>
      </c>
      <c r="F185" s="2" t="s">
        <v>722</v>
      </c>
      <c r="G185" s="2" t="s">
        <v>930</v>
      </c>
      <c r="H185" s="3" t="s">
        <v>931</v>
      </c>
      <c r="I185" s="2" t="s">
        <v>932</v>
      </c>
      <c r="J185" s="3" t="s">
        <v>933</v>
      </c>
      <c r="K185" s="2" t="s">
        <v>951</v>
      </c>
      <c r="L185" s="3" t="s">
        <v>952</v>
      </c>
      <c r="N185" s="4" t="s">
        <v>38</v>
      </c>
      <c r="O185" s="4" t="s">
        <v>311</v>
      </c>
      <c r="Q185" s="4" t="s">
        <v>311</v>
      </c>
      <c r="S185" s="2" t="s">
        <v>40</v>
      </c>
      <c r="T185" s="3" t="s">
        <v>95</v>
      </c>
      <c r="U185" s="2" t="s">
        <v>42</v>
      </c>
      <c r="V185" s="2" t="s">
        <v>43</v>
      </c>
      <c r="Y185" s="2" t="str">
        <f>VLOOKUP(C185,[1]Cat_Objetos!$C$4:$C$346,1,FALSE)</f>
        <v>Notificación y reporte del despliegue del sistema para la captación en entorno de producción para AT</v>
      </c>
    </row>
    <row r="186" spans="1:25" ht="29.15" x14ac:dyDescent="0.4">
      <c r="A186" s="4">
        <f t="shared" si="2"/>
        <v>183</v>
      </c>
      <c r="B186" s="2" t="s">
        <v>953</v>
      </c>
      <c r="C186" s="7" t="s">
        <v>954</v>
      </c>
      <c r="D186" s="2" t="s">
        <v>955</v>
      </c>
      <c r="E186" s="2" t="s">
        <v>721</v>
      </c>
      <c r="F186" s="2" t="s">
        <v>722</v>
      </c>
      <c r="G186" s="2" t="s">
        <v>956</v>
      </c>
      <c r="H186" s="3" t="s">
        <v>957</v>
      </c>
      <c r="I186" s="2" t="s">
        <v>958</v>
      </c>
      <c r="J186" s="3" t="s">
        <v>959</v>
      </c>
      <c r="K186" s="2" t="s">
        <v>960</v>
      </c>
      <c r="L186" s="3" t="s">
        <v>961</v>
      </c>
      <c r="N186" s="4" t="s">
        <v>38</v>
      </c>
      <c r="O186" s="4" t="s">
        <v>38</v>
      </c>
      <c r="Q186" s="4" t="s">
        <v>38</v>
      </c>
      <c r="R186" s="2" t="s">
        <v>752</v>
      </c>
      <c r="S186" s="2" t="s">
        <v>40</v>
      </c>
      <c r="T186" s="3" t="s">
        <v>76</v>
      </c>
      <c r="U186" s="2" t="s">
        <v>42</v>
      </c>
      <c r="V186" s="2" t="s">
        <v>43</v>
      </c>
      <c r="Y186" s="2" t="e">
        <f>VLOOKUP(C186,[1]Cat_Objetos!$C$4:$C$346,1,FALSE)</f>
        <v>#N/A</v>
      </c>
    </row>
    <row r="187" spans="1:25" ht="29.15" x14ac:dyDescent="0.4">
      <c r="A187" s="4">
        <f t="shared" si="2"/>
        <v>184</v>
      </c>
      <c r="B187" s="2" t="s">
        <v>962</v>
      </c>
      <c r="C187" s="7" t="s">
        <v>963</v>
      </c>
      <c r="E187" s="2" t="s">
        <v>721</v>
      </c>
      <c r="F187" s="2" t="s">
        <v>722</v>
      </c>
      <c r="G187" s="2" t="s">
        <v>956</v>
      </c>
      <c r="H187" s="3" t="s">
        <v>957</v>
      </c>
      <c r="I187" s="2" t="s">
        <v>958</v>
      </c>
      <c r="J187" s="3" t="s">
        <v>959</v>
      </c>
      <c r="K187" s="2" t="s">
        <v>960</v>
      </c>
      <c r="L187" s="3" t="s">
        <v>961</v>
      </c>
      <c r="N187" s="4" t="s">
        <v>38</v>
      </c>
      <c r="O187" s="4" t="s">
        <v>38</v>
      </c>
      <c r="Q187" s="4" t="s">
        <v>38</v>
      </c>
      <c r="R187" s="2" t="s">
        <v>752</v>
      </c>
      <c r="S187" s="2" t="s">
        <v>40</v>
      </c>
      <c r="T187" s="3" t="s">
        <v>76</v>
      </c>
      <c r="U187" s="2" t="s">
        <v>42</v>
      </c>
      <c r="V187" s="2" t="s">
        <v>43</v>
      </c>
      <c r="Y187" s="2" t="e">
        <f>VLOOKUP(C187,[1]Cat_Objetos!$C$4:$C$346,1,FALSE)</f>
        <v>#N/A</v>
      </c>
    </row>
    <row r="188" spans="1:25" ht="29.15" x14ac:dyDescent="0.4">
      <c r="A188" s="4">
        <f t="shared" si="2"/>
        <v>185</v>
      </c>
      <c r="B188" s="2" t="s">
        <v>964</v>
      </c>
      <c r="C188" s="3" t="s">
        <v>965</v>
      </c>
      <c r="E188" s="2" t="s">
        <v>721</v>
      </c>
      <c r="F188" s="2" t="s">
        <v>722</v>
      </c>
      <c r="G188" s="2" t="s">
        <v>956</v>
      </c>
      <c r="H188" s="3" t="s">
        <v>957</v>
      </c>
      <c r="I188" s="2" t="s">
        <v>966</v>
      </c>
      <c r="J188" s="3" t="s">
        <v>967</v>
      </c>
      <c r="K188" s="2" t="s">
        <v>968</v>
      </c>
      <c r="L188" s="3" t="s">
        <v>969</v>
      </c>
      <c r="N188" s="4" t="s">
        <v>38</v>
      </c>
      <c r="O188" s="4" t="s">
        <v>38</v>
      </c>
      <c r="Q188" s="4" t="s">
        <v>38</v>
      </c>
      <c r="R188" s="2" t="s">
        <v>752</v>
      </c>
      <c r="S188" s="2" t="s">
        <v>40</v>
      </c>
      <c r="T188" s="3" t="s">
        <v>76</v>
      </c>
      <c r="U188" s="2" t="s">
        <v>42</v>
      </c>
      <c r="V188" s="2" t="s">
        <v>43</v>
      </c>
      <c r="Y188" s="2" t="str">
        <f>VLOOKUP(C188,[1]Cat_Objetos!$C$4:$C$346,1,FALSE)</f>
        <v>Resultados de la capacitación a personal responsable del sistema para la captación en OC</v>
      </c>
    </row>
    <row r="189" spans="1:25" ht="29.15" x14ac:dyDescent="0.4">
      <c r="A189" s="4">
        <f t="shared" si="2"/>
        <v>186</v>
      </c>
      <c r="B189" s="2" t="s">
        <v>970</v>
      </c>
      <c r="C189" s="3" t="s">
        <v>971</v>
      </c>
      <c r="E189" s="2" t="s">
        <v>721</v>
      </c>
      <c r="F189" s="2" t="s">
        <v>722</v>
      </c>
      <c r="G189" s="2" t="s">
        <v>956</v>
      </c>
      <c r="H189" s="3" t="s">
        <v>957</v>
      </c>
      <c r="I189" s="2" t="s">
        <v>966</v>
      </c>
      <c r="J189" s="3" t="s">
        <v>967</v>
      </c>
      <c r="K189" s="2" t="s">
        <v>972</v>
      </c>
      <c r="L189" s="3" t="s">
        <v>973</v>
      </c>
      <c r="N189" s="4" t="s">
        <v>38</v>
      </c>
      <c r="O189" s="4" t="s">
        <v>38</v>
      </c>
      <c r="Q189" s="4" t="s">
        <v>38</v>
      </c>
      <c r="S189" s="2" t="s">
        <v>40</v>
      </c>
      <c r="T189" s="3" t="s">
        <v>76</v>
      </c>
      <c r="U189" s="2" t="s">
        <v>42</v>
      </c>
      <c r="V189" s="2" t="s">
        <v>43</v>
      </c>
      <c r="Y189" s="2" t="str">
        <f>VLOOKUP(C189,[1]Cat_Objetos!$C$4:$C$346,1,FALSE)</f>
        <v>Resultados de la capacitación a personal responsable del sistema para la codificación</v>
      </c>
    </row>
    <row r="190" spans="1:25" ht="29.15" x14ac:dyDescent="0.4">
      <c r="A190" s="4">
        <f t="shared" si="2"/>
        <v>187</v>
      </c>
      <c r="B190" s="2" t="s">
        <v>974</v>
      </c>
      <c r="C190" s="3" t="s">
        <v>975</v>
      </c>
      <c r="E190" s="2" t="s">
        <v>721</v>
      </c>
      <c r="F190" s="2" t="s">
        <v>722</v>
      </c>
      <c r="G190" s="2" t="s">
        <v>956</v>
      </c>
      <c r="H190" s="3" t="s">
        <v>957</v>
      </c>
      <c r="I190" s="2" t="s">
        <v>966</v>
      </c>
      <c r="J190" s="3" t="s">
        <v>967</v>
      </c>
      <c r="K190" s="2" t="s">
        <v>976</v>
      </c>
      <c r="L190" s="3" t="s">
        <v>977</v>
      </c>
      <c r="N190" s="4" t="s">
        <v>38</v>
      </c>
      <c r="O190" s="4" t="s">
        <v>38</v>
      </c>
      <c r="Q190" s="4" t="s">
        <v>38</v>
      </c>
      <c r="S190" s="2" t="s">
        <v>40</v>
      </c>
      <c r="T190" s="3" t="s">
        <v>76</v>
      </c>
      <c r="U190" s="2" t="s">
        <v>42</v>
      </c>
      <c r="V190" s="2" t="s">
        <v>43</v>
      </c>
      <c r="Y190" s="2" t="str">
        <f>VLOOKUP(C190,[1]Cat_Objetos!$C$4:$C$346,1,FALSE)</f>
        <v>Resultados de la capacitación a personal responsable del sistema para validación, ed. e imputación</v>
      </c>
    </row>
    <row r="191" spans="1:25" ht="29.15" x14ac:dyDescent="0.4">
      <c r="A191" s="4">
        <f t="shared" si="2"/>
        <v>188</v>
      </c>
      <c r="B191" s="2" t="s">
        <v>978</v>
      </c>
      <c r="C191" s="3" t="s">
        <v>979</v>
      </c>
      <c r="E191" s="2" t="s">
        <v>721</v>
      </c>
      <c r="F191" s="2" t="s">
        <v>722</v>
      </c>
      <c r="G191" s="2" t="s">
        <v>956</v>
      </c>
      <c r="H191" s="3" t="s">
        <v>957</v>
      </c>
      <c r="I191" s="2" t="s">
        <v>966</v>
      </c>
      <c r="J191" s="3" t="s">
        <v>967</v>
      </c>
      <c r="K191" s="2" t="s">
        <v>980</v>
      </c>
      <c r="L191" s="3" t="s">
        <v>981</v>
      </c>
      <c r="N191" s="4" t="s">
        <v>38</v>
      </c>
      <c r="O191" s="4" t="s">
        <v>38</v>
      </c>
      <c r="Q191" s="4" t="s">
        <v>38</v>
      </c>
      <c r="S191" s="2" t="s">
        <v>40</v>
      </c>
      <c r="T191" s="3" t="s">
        <v>76</v>
      </c>
      <c r="U191" s="2" t="s">
        <v>42</v>
      </c>
      <c r="V191" s="2" t="s">
        <v>43</v>
      </c>
      <c r="Y191" s="2" t="str">
        <f>VLOOKUP(C191,[1]Cat_Objetos!$C$4:$C$346,1,FALSE)</f>
        <v>Resultados de la capacitación a personal responsable de otros sistemas para procesamiento y análisis</v>
      </c>
    </row>
    <row r="192" spans="1:25" ht="29.15" x14ac:dyDescent="0.4">
      <c r="A192" s="4">
        <f t="shared" si="2"/>
        <v>189</v>
      </c>
      <c r="B192" s="2" t="s">
        <v>982</v>
      </c>
      <c r="C192" s="3" t="s">
        <v>983</v>
      </c>
      <c r="E192" s="2" t="s">
        <v>721</v>
      </c>
      <c r="F192" s="2" t="s">
        <v>722</v>
      </c>
      <c r="G192" s="2" t="s">
        <v>956</v>
      </c>
      <c r="H192" s="3" t="s">
        <v>957</v>
      </c>
      <c r="I192" s="2" t="s">
        <v>966</v>
      </c>
      <c r="J192" s="3" t="s">
        <v>967</v>
      </c>
      <c r="K192" s="2" t="s">
        <v>984</v>
      </c>
      <c r="L192" s="3" t="s">
        <v>985</v>
      </c>
      <c r="N192" s="4" t="s">
        <v>38</v>
      </c>
      <c r="O192" s="4" t="s">
        <v>311</v>
      </c>
      <c r="Q192" s="4" t="s">
        <v>311</v>
      </c>
      <c r="R192" s="2" t="s">
        <v>752</v>
      </c>
      <c r="S192" s="2" t="s">
        <v>40</v>
      </c>
      <c r="T192" s="3" t="s">
        <v>76</v>
      </c>
      <c r="U192" s="2" t="s">
        <v>42</v>
      </c>
      <c r="V192" s="2" t="s">
        <v>43</v>
      </c>
      <c r="Y192" s="2" t="str">
        <f>VLOOKUP(C192,[1]Cat_Objetos!$C$4:$C$346,1,FALSE)</f>
        <v>Resultados de la capacitación a personal responsable del sistema para la captación en AT</v>
      </c>
    </row>
    <row r="193" spans="1:25" ht="29.15" x14ac:dyDescent="0.4">
      <c r="A193" s="4">
        <f t="shared" si="2"/>
        <v>190</v>
      </c>
      <c r="B193" s="13" t="s">
        <v>986</v>
      </c>
      <c r="C193" s="3" t="s">
        <v>987</v>
      </c>
      <c r="E193" s="2" t="s">
        <v>988</v>
      </c>
      <c r="F193" s="2" t="s">
        <v>989</v>
      </c>
      <c r="G193" s="2" t="s">
        <v>990</v>
      </c>
      <c r="H193" s="3" t="s">
        <v>991</v>
      </c>
      <c r="I193" s="2" t="s">
        <v>992</v>
      </c>
      <c r="J193" s="3" t="s">
        <v>993</v>
      </c>
      <c r="K193" s="2" t="s">
        <v>994</v>
      </c>
      <c r="L193" s="3" t="s">
        <v>995</v>
      </c>
      <c r="N193" s="4" t="s">
        <v>38</v>
      </c>
      <c r="O193" s="4" t="s">
        <v>38</v>
      </c>
      <c r="Q193" s="4" t="s">
        <v>38</v>
      </c>
      <c r="R193" s="2" t="s">
        <v>996</v>
      </c>
      <c r="S193" s="2" t="s">
        <v>40</v>
      </c>
      <c r="T193" s="3" t="s">
        <v>95</v>
      </c>
      <c r="U193" s="2" t="s">
        <v>42</v>
      </c>
      <c r="V193" s="2" t="s">
        <v>43</v>
      </c>
      <c r="Y193" s="2" t="str">
        <f>VLOOKUP(C193,[1]Cat_Objetos!$C$4:$C$346,1,FALSE)</f>
        <v>Plantilla del personal contratado en OC</v>
      </c>
    </row>
    <row r="194" spans="1:25" ht="29.15" x14ac:dyDescent="0.4">
      <c r="A194" s="4">
        <f t="shared" si="2"/>
        <v>191</v>
      </c>
      <c r="B194" s="13" t="s">
        <v>997</v>
      </c>
      <c r="C194" s="3" t="s">
        <v>998</v>
      </c>
      <c r="D194" s="8"/>
      <c r="E194" s="2" t="s">
        <v>988</v>
      </c>
      <c r="F194" s="2" t="s">
        <v>989</v>
      </c>
      <c r="G194" s="2" t="s">
        <v>990</v>
      </c>
      <c r="H194" s="3" t="s">
        <v>991</v>
      </c>
      <c r="I194" s="2" t="s">
        <v>992</v>
      </c>
      <c r="J194" s="3" t="s">
        <v>993</v>
      </c>
      <c r="K194" s="2" t="s">
        <v>999</v>
      </c>
      <c r="L194" s="3" t="s">
        <v>1000</v>
      </c>
      <c r="N194" s="4" t="s">
        <v>38</v>
      </c>
      <c r="O194" s="4" t="s">
        <v>38</v>
      </c>
      <c r="Q194" s="4" t="s">
        <v>38</v>
      </c>
      <c r="R194" s="2" t="s">
        <v>996</v>
      </c>
      <c r="S194" s="2" t="s">
        <v>40</v>
      </c>
      <c r="T194" s="3" t="s">
        <v>95</v>
      </c>
      <c r="U194" s="2" t="s">
        <v>42</v>
      </c>
      <c r="V194" s="2" t="s">
        <v>43</v>
      </c>
      <c r="Y194" s="2" t="str">
        <f>VLOOKUP(C194,[1]Cat_Objetos!$C$4:$C$346,1,FALSE)</f>
        <v>Plantilla del personal contratado en AT</v>
      </c>
    </row>
    <row r="195" spans="1:25" ht="29.15" x14ac:dyDescent="0.4">
      <c r="A195" s="4">
        <f t="shared" si="2"/>
        <v>192</v>
      </c>
      <c r="B195" s="13" t="s">
        <v>1001</v>
      </c>
      <c r="C195" s="3" t="s">
        <v>1002</v>
      </c>
      <c r="E195" s="2" t="s">
        <v>988</v>
      </c>
      <c r="F195" s="2" t="s">
        <v>989</v>
      </c>
      <c r="G195" s="2" t="s">
        <v>990</v>
      </c>
      <c r="H195" s="3" t="s">
        <v>991</v>
      </c>
      <c r="I195" s="2" t="s">
        <v>992</v>
      </c>
      <c r="J195" s="3" t="s">
        <v>993</v>
      </c>
      <c r="K195" s="2" t="s">
        <v>1003</v>
      </c>
      <c r="L195" s="3" t="s">
        <v>1004</v>
      </c>
      <c r="N195" s="4" t="s">
        <v>38</v>
      </c>
      <c r="O195" s="4" t="s">
        <v>38</v>
      </c>
      <c r="Q195" s="4" t="s">
        <v>38</v>
      </c>
      <c r="R195" s="2" t="s">
        <v>1005</v>
      </c>
      <c r="S195" s="2" t="s">
        <v>40</v>
      </c>
      <c r="T195" s="3" t="s">
        <v>95</v>
      </c>
      <c r="U195" s="2" t="s">
        <v>42</v>
      </c>
      <c r="V195" s="2" t="s">
        <v>43</v>
      </c>
      <c r="Y195" s="2" t="str">
        <f>VLOOKUP(C195,[1]Cat_Objetos!$C$4:$C$346,1,FALSE)</f>
        <v>Cronograma general del operativo de captación</v>
      </c>
    </row>
    <row r="196" spans="1:25" ht="29.15" x14ac:dyDescent="0.4">
      <c r="A196" s="4">
        <f t="shared" si="2"/>
        <v>193</v>
      </c>
      <c r="B196" s="13" t="s">
        <v>1006</v>
      </c>
      <c r="C196" s="3" t="s">
        <v>1007</v>
      </c>
      <c r="E196" s="2" t="s">
        <v>988</v>
      </c>
      <c r="F196" s="2" t="s">
        <v>989</v>
      </c>
      <c r="G196" s="2" t="s">
        <v>990</v>
      </c>
      <c r="H196" s="3" t="s">
        <v>991</v>
      </c>
      <c r="I196" s="2" t="s">
        <v>992</v>
      </c>
      <c r="J196" s="3" t="s">
        <v>993</v>
      </c>
      <c r="K196" s="2" t="s">
        <v>1003</v>
      </c>
      <c r="L196" s="3" t="s">
        <v>1004</v>
      </c>
      <c r="N196" s="4" t="s">
        <v>38</v>
      </c>
      <c r="O196" s="4" t="s">
        <v>38</v>
      </c>
      <c r="Q196" s="4" t="s">
        <v>38</v>
      </c>
      <c r="R196" s="2" t="s">
        <v>1005</v>
      </c>
      <c r="S196" s="2" t="s">
        <v>40</v>
      </c>
      <c r="T196" s="3" t="s">
        <v>95</v>
      </c>
      <c r="U196" s="2" t="s">
        <v>42</v>
      </c>
      <c r="V196" s="2" t="s">
        <v>43</v>
      </c>
      <c r="Y196" s="2" t="str">
        <f>VLOOKUP(C196,[1]Cat_Objetos!$C$4:$C$346,1,FALSE)</f>
        <v>Formatos para el seguimiento y control del operativo</v>
      </c>
    </row>
    <row r="197" spans="1:25" ht="29.15" x14ac:dyDescent="0.4">
      <c r="A197" s="4">
        <f t="shared" si="2"/>
        <v>194</v>
      </c>
      <c r="B197" s="13" t="s">
        <v>1008</v>
      </c>
      <c r="C197" s="3" t="s">
        <v>1009</v>
      </c>
      <c r="E197" s="2" t="s">
        <v>988</v>
      </c>
      <c r="F197" s="2" t="s">
        <v>989</v>
      </c>
      <c r="G197" s="2" t="s">
        <v>990</v>
      </c>
      <c r="H197" s="3" t="s">
        <v>991</v>
      </c>
      <c r="I197" s="2" t="s">
        <v>992</v>
      </c>
      <c r="J197" s="3" t="s">
        <v>993</v>
      </c>
      <c r="K197" s="2" t="s">
        <v>1003</v>
      </c>
      <c r="L197" s="3" t="s">
        <v>1004</v>
      </c>
      <c r="N197" s="4" t="s">
        <v>38</v>
      </c>
      <c r="O197" s="4" t="s">
        <v>38</v>
      </c>
      <c r="Q197" s="4" t="s">
        <v>38</v>
      </c>
      <c r="R197" s="2" t="s">
        <v>1010</v>
      </c>
      <c r="S197" s="2" t="s">
        <v>40</v>
      </c>
      <c r="T197" s="3" t="s">
        <v>406</v>
      </c>
      <c r="U197" s="2" t="s">
        <v>42</v>
      </c>
      <c r="V197" s="2" t="s">
        <v>43</v>
      </c>
      <c r="Y197" s="2" t="str">
        <f>VLOOKUP(C197,[1]Cat_Objetos!$C$4:$C$346,1,FALSE)</f>
        <v>Procedimientos específicos para la logística del levantamiento</v>
      </c>
    </row>
    <row r="198" spans="1:25" ht="29.15" x14ac:dyDescent="0.4">
      <c r="A198" s="4">
        <f t="shared" ref="A198:A261" si="3">A197+1</f>
        <v>195</v>
      </c>
      <c r="B198" s="13" t="s">
        <v>1011</v>
      </c>
      <c r="C198" s="3" t="s">
        <v>1012</v>
      </c>
      <c r="E198" s="2" t="s">
        <v>988</v>
      </c>
      <c r="F198" s="2" t="s">
        <v>989</v>
      </c>
      <c r="G198" s="2" t="s">
        <v>990</v>
      </c>
      <c r="H198" s="3" t="s">
        <v>991</v>
      </c>
      <c r="I198" s="2" t="s">
        <v>992</v>
      </c>
      <c r="J198" s="3" t="s">
        <v>993</v>
      </c>
      <c r="K198" s="2" t="s">
        <v>1013</v>
      </c>
      <c r="L198" s="3" t="s">
        <v>1014</v>
      </c>
      <c r="N198" s="4" t="s">
        <v>38</v>
      </c>
      <c r="O198" s="4" t="s">
        <v>38</v>
      </c>
      <c r="Q198" s="4" t="s">
        <v>38</v>
      </c>
      <c r="R198" s="2" t="s">
        <v>1005</v>
      </c>
      <c r="S198" s="2" t="s">
        <v>40</v>
      </c>
      <c r="T198" s="3" t="s">
        <v>406</v>
      </c>
      <c r="U198" s="2" t="s">
        <v>42</v>
      </c>
      <c r="V198" s="2" t="s">
        <v>43</v>
      </c>
      <c r="Y198" s="2" t="str">
        <f>VLOOKUP(C198,[1]Cat_Objetos!$C$4:$C$346,1,FALSE)</f>
        <v>Cargas de trabajo y tramos de control</v>
      </c>
    </row>
    <row r="199" spans="1:25" ht="29.15" x14ac:dyDescent="0.4">
      <c r="A199" s="4">
        <f t="shared" si="3"/>
        <v>196</v>
      </c>
      <c r="B199" s="13" t="s">
        <v>1015</v>
      </c>
      <c r="C199" s="3" t="s">
        <v>1016</v>
      </c>
      <c r="E199" s="2" t="s">
        <v>988</v>
      </c>
      <c r="F199" s="2" t="s">
        <v>989</v>
      </c>
      <c r="G199" s="2" t="s">
        <v>990</v>
      </c>
      <c r="H199" s="3" t="s">
        <v>991</v>
      </c>
      <c r="I199" s="2" t="s">
        <v>992</v>
      </c>
      <c r="J199" s="3" t="s">
        <v>993</v>
      </c>
      <c r="K199" s="2" t="s">
        <v>1013</v>
      </c>
      <c r="L199" s="3" t="s">
        <v>1014</v>
      </c>
      <c r="N199" s="4" t="s">
        <v>38</v>
      </c>
      <c r="O199" s="4" t="s">
        <v>38</v>
      </c>
      <c r="Q199" s="4" t="s">
        <v>38</v>
      </c>
      <c r="R199" s="2" t="s">
        <v>1010</v>
      </c>
      <c r="S199" s="2" t="s">
        <v>40</v>
      </c>
      <c r="T199" s="3" t="s">
        <v>406</v>
      </c>
      <c r="U199" s="2" t="s">
        <v>42</v>
      </c>
      <c r="V199" s="2" t="s">
        <v>43</v>
      </c>
      <c r="Y199" s="2" t="str">
        <f>VLOOKUP(C199,[1]Cat_Objetos!$C$4:$C$346,1,FALSE)</f>
        <v>Esquema de captación</v>
      </c>
    </row>
    <row r="200" spans="1:25" ht="29.15" x14ac:dyDescent="0.4">
      <c r="A200" s="4">
        <f t="shared" si="3"/>
        <v>197</v>
      </c>
      <c r="B200" s="13" t="s">
        <v>1017</v>
      </c>
      <c r="C200" s="3" t="s">
        <v>1018</v>
      </c>
      <c r="D200" s="2" t="s">
        <v>1019</v>
      </c>
      <c r="E200" s="2" t="s">
        <v>988</v>
      </c>
      <c r="F200" s="2" t="s">
        <v>989</v>
      </c>
      <c r="G200" s="2" t="s">
        <v>990</v>
      </c>
      <c r="H200" s="3" t="s">
        <v>991</v>
      </c>
      <c r="I200" s="2" t="s">
        <v>992</v>
      </c>
      <c r="J200" s="3" t="s">
        <v>993</v>
      </c>
      <c r="K200" s="2" t="s">
        <v>1013</v>
      </c>
      <c r="L200" s="3" t="s">
        <v>1014</v>
      </c>
      <c r="N200" s="4" t="s">
        <v>38</v>
      </c>
      <c r="O200" s="4" t="s">
        <v>38</v>
      </c>
      <c r="Q200" s="4" t="s">
        <v>38</v>
      </c>
      <c r="R200" s="2" t="s">
        <v>1020</v>
      </c>
      <c r="S200" s="2" t="s">
        <v>40</v>
      </c>
      <c r="T200" s="3" t="s">
        <v>299</v>
      </c>
      <c r="U200" s="2" t="s">
        <v>42</v>
      </c>
      <c r="V200" s="2" t="s">
        <v>43</v>
      </c>
      <c r="Y200" s="2" t="str">
        <f>VLOOKUP(C200,[1]Cat_Objetos!$C$4:$C$346,1,FALSE)</f>
        <v>Conclusión de captura de planeación</v>
      </c>
    </row>
    <row r="201" spans="1:25" ht="29.15" x14ac:dyDescent="0.4">
      <c r="A201" s="4">
        <f t="shared" si="3"/>
        <v>198</v>
      </c>
      <c r="B201" s="13" t="s">
        <v>1021</v>
      </c>
      <c r="C201" s="3" t="s">
        <v>1022</v>
      </c>
      <c r="E201" s="2" t="s">
        <v>988</v>
      </c>
      <c r="F201" s="2" t="s">
        <v>989</v>
      </c>
      <c r="G201" s="2" t="s">
        <v>990</v>
      </c>
      <c r="H201" s="3" t="s">
        <v>991</v>
      </c>
      <c r="I201" s="2" t="s">
        <v>992</v>
      </c>
      <c r="J201" s="3" t="s">
        <v>993</v>
      </c>
      <c r="K201" s="2" t="s">
        <v>1023</v>
      </c>
      <c r="L201" s="3" t="s">
        <v>1024</v>
      </c>
      <c r="N201" s="4" t="s">
        <v>38</v>
      </c>
      <c r="O201" s="4" t="s">
        <v>38</v>
      </c>
      <c r="Q201" s="4" t="s">
        <v>38</v>
      </c>
      <c r="R201" s="2" t="s">
        <v>1025</v>
      </c>
      <c r="S201" s="2" t="s">
        <v>40</v>
      </c>
      <c r="T201" s="3" t="s">
        <v>1026</v>
      </c>
      <c r="U201" s="2" t="s">
        <v>42</v>
      </c>
      <c r="V201" s="2" t="s">
        <v>43</v>
      </c>
      <c r="Y201" s="2" t="str">
        <f>VLOOKUP(C201,[1]Cat_Objetos!$C$4:$C$346,1,FALSE)</f>
        <v>Resultado de visitas realizadas</v>
      </c>
    </row>
    <row r="202" spans="1:25" ht="29.15" x14ac:dyDescent="0.4">
      <c r="A202" s="4">
        <f t="shared" si="3"/>
        <v>199</v>
      </c>
      <c r="B202" s="13" t="s">
        <v>1027</v>
      </c>
      <c r="C202" s="3" t="s">
        <v>1028</v>
      </c>
      <c r="E202" s="2" t="s">
        <v>988</v>
      </c>
      <c r="F202" s="2" t="s">
        <v>989</v>
      </c>
      <c r="G202" s="2" t="s">
        <v>990</v>
      </c>
      <c r="H202" s="3" t="s">
        <v>991</v>
      </c>
      <c r="I202" s="2" t="s">
        <v>992</v>
      </c>
      <c r="J202" s="3" t="s">
        <v>993</v>
      </c>
      <c r="K202" s="2" t="s">
        <v>1029</v>
      </c>
      <c r="L202" s="3" t="s">
        <v>1030</v>
      </c>
      <c r="N202" s="4" t="s">
        <v>38</v>
      </c>
      <c r="O202" s="4" t="s">
        <v>311</v>
      </c>
      <c r="Q202" s="4" t="s">
        <v>311</v>
      </c>
      <c r="R202" s="2" t="s">
        <v>1031</v>
      </c>
      <c r="S202" s="2" t="s">
        <v>40</v>
      </c>
      <c r="T202" s="3" t="s">
        <v>76</v>
      </c>
      <c r="U202" s="2" t="s">
        <v>42</v>
      </c>
      <c r="V202" s="2" t="s">
        <v>43</v>
      </c>
      <c r="Y202" s="2" t="str">
        <f>VLOOKUP(C202,[1]Cat_Objetos!$C$4:$C$346,1,FALSE)</f>
        <v>Informe de las acciones de comunicación y concertación</v>
      </c>
    </row>
    <row r="203" spans="1:25" ht="29.15" x14ac:dyDescent="0.4">
      <c r="A203" s="4">
        <f t="shared" si="3"/>
        <v>200</v>
      </c>
      <c r="B203" s="13" t="s">
        <v>1032</v>
      </c>
      <c r="C203" s="3" t="s">
        <v>1033</v>
      </c>
      <c r="E203" s="2" t="s">
        <v>988</v>
      </c>
      <c r="F203" s="2" t="s">
        <v>989</v>
      </c>
      <c r="G203" s="2" t="s">
        <v>990</v>
      </c>
      <c r="H203" s="3" t="s">
        <v>991</v>
      </c>
      <c r="I203" s="2" t="s">
        <v>992</v>
      </c>
      <c r="J203" s="3" t="s">
        <v>993</v>
      </c>
      <c r="K203" s="2" t="s">
        <v>1034</v>
      </c>
      <c r="L203" s="3" t="s">
        <v>1035</v>
      </c>
      <c r="N203" s="4" t="s">
        <v>38</v>
      </c>
      <c r="O203" s="4" t="s">
        <v>311</v>
      </c>
      <c r="Q203" s="4" t="s">
        <v>311</v>
      </c>
      <c r="R203" s="2" t="s">
        <v>1031</v>
      </c>
      <c r="S203" s="2" t="s">
        <v>40</v>
      </c>
      <c r="T203" s="3" t="s">
        <v>1036</v>
      </c>
      <c r="U203" s="2" t="s">
        <v>42</v>
      </c>
      <c r="V203" s="2" t="s">
        <v>43</v>
      </c>
      <c r="Y203" s="2" t="str">
        <f>VLOOKUP(C203,[1]Cat_Objetos!$C$4:$C$346,1,FALSE)</f>
        <v>Cartografía para el operativo</v>
      </c>
    </row>
    <row r="204" spans="1:25" ht="29.15" x14ac:dyDescent="0.4">
      <c r="A204" s="4">
        <f t="shared" si="3"/>
        <v>201</v>
      </c>
      <c r="B204" s="2" t="s">
        <v>1037</v>
      </c>
      <c r="C204" s="3" t="s">
        <v>1038</v>
      </c>
      <c r="E204" s="2" t="s">
        <v>988</v>
      </c>
      <c r="F204" s="2" t="s">
        <v>989</v>
      </c>
      <c r="G204" s="2" t="s">
        <v>990</v>
      </c>
      <c r="H204" s="3" t="s">
        <v>991</v>
      </c>
      <c r="I204" s="2" t="s">
        <v>1039</v>
      </c>
      <c r="J204" s="3" t="s">
        <v>1040</v>
      </c>
      <c r="K204" s="2" t="s">
        <v>1041</v>
      </c>
      <c r="L204" s="3" t="s">
        <v>1042</v>
      </c>
      <c r="N204" s="4" t="s">
        <v>38</v>
      </c>
      <c r="O204" s="4" t="s">
        <v>38</v>
      </c>
      <c r="Q204" s="4" t="s">
        <v>38</v>
      </c>
      <c r="R204" s="2" t="s">
        <v>1043</v>
      </c>
      <c r="S204" s="2" t="s">
        <v>40</v>
      </c>
      <c r="T204" s="3" t="s">
        <v>95</v>
      </c>
      <c r="U204" s="2" t="s">
        <v>42</v>
      </c>
      <c r="V204" s="2" t="s">
        <v>43</v>
      </c>
      <c r="Y204" s="2" t="str">
        <f>VLOOKUP(C204,[1]Cat_Objetos!$C$4:$C$346,1,FALSE)</f>
        <v>Listado de recursos materiales disponibles</v>
      </c>
    </row>
    <row r="205" spans="1:25" ht="29.15" x14ac:dyDescent="0.4">
      <c r="A205" s="4">
        <f t="shared" si="3"/>
        <v>202</v>
      </c>
      <c r="B205" s="2" t="s">
        <v>1044</v>
      </c>
      <c r="C205" s="3" t="s">
        <v>1045</v>
      </c>
      <c r="E205" s="2" t="s">
        <v>988</v>
      </c>
      <c r="F205" s="2" t="s">
        <v>989</v>
      </c>
      <c r="G205" s="2" t="s">
        <v>990</v>
      </c>
      <c r="H205" s="3" t="s">
        <v>991</v>
      </c>
      <c r="I205" s="2" t="s">
        <v>1039</v>
      </c>
      <c r="J205" s="3" t="s">
        <v>1040</v>
      </c>
      <c r="K205" s="2" t="s">
        <v>1041</v>
      </c>
      <c r="L205" s="3" t="s">
        <v>1042</v>
      </c>
      <c r="N205" s="4" t="s">
        <v>38</v>
      </c>
      <c r="O205" s="4" t="s">
        <v>38</v>
      </c>
      <c r="Q205" s="4" t="s">
        <v>38</v>
      </c>
      <c r="R205" s="2" t="s">
        <v>1043</v>
      </c>
      <c r="S205" s="2" t="s">
        <v>40</v>
      </c>
      <c r="T205" s="3" t="s">
        <v>95</v>
      </c>
      <c r="U205" s="2" t="s">
        <v>42</v>
      </c>
      <c r="V205" s="2" t="s">
        <v>43</v>
      </c>
      <c r="Y205" s="2" t="str">
        <f>VLOOKUP(C205,[1]Cat_Objetos!$C$4:$C$346,1,FALSE)</f>
        <v>Listado de equipos disponibles</v>
      </c>
    </row>
    <row r="206" spans="1:25" ht="29.15" x14ac:dyDescent="0.4">
      <c r="A206" s="4">
        <f t="shared" si="3"/>
        <v>203</v>
      </c>
      <c r="B206" s="2" t="s">
        <v>1046</v>
      </c>
      <c r="C206" s="3" t="s">
        <v>1047</v>
      </c>
      <c r="E206" s="2" t="s">
        <v>988</v>
      </c>
      <c r="F206" s="2" t="s">
        <v>989</v>
      </c>
      <c r="G206" s="2" t="s">
        <v>990</v>
      </c>
      <c r="H206" s="3" t="s">
        <v>991</v>
      </c>
      <c r="I206" s="2" t="s">
        <v>1039</v>
      </c>
      <c r="J206" s="3" t="s">
        <v>1040</v>
      </c>
      <c r="K206" s="2" t="s">
        <v>1048</v>
      </c>
      <c r="L206" s="3" t="s">
        <v>1049</v>
      </c>
      <c r="N206" s="4" t="s">
        <v>38</v>
      </c>
      <c r="O206" s="4" t="s">
        <v>38</v>
      </c>
      <c r="Q206" s="4" t="s">
        <v>38</v>
      </c>
      <c r="R206" s="2" t="s">
        <v>1050</v>
      </c>
      <c r="S206" s="2" t="s">
        <v>40</v>
      </c>
      <c r="T206" s="3" t="s">
        <v>95</v>
      </c>
      <c r="U206" s="2" t="s">
        <v>42</v>
      </c>
      <c r="V206" s="2" t="s">
        <v>43</v>
      </c>
      <c r="Y206" s="2" t="str">
        <f>VLOOKUP(C206,[1]Cat_Objetos!$C$4:$C$346,1,FALSE)</f>
        <v>Notificación VCF de aceptación de suficiencia de mat. y eq. de captación y capacitación</v>
      </c>
    </row>
    <row r="207" spans="1:25" ht="29.15" x14ac:dyDescent="0.4">
      <c r="A207" s="4">
        <f t="shared" si="3"/>
        <v>204</v>
      </c>
      <c r="B207" s="2" t="s">
        <v>1051</v>
      </c>
      <c r="C207" s="3" t="s">
        <v>1052</v>
      </c>
      <c r="E207" s="2" t="s">
        <v>988</v>
      </c>
      <c r="F207" s="2" t="s">
        <v>989</v>
      </c>
      <c r="G207" s="2" t="s">
        <v>990</v>
      </c>
      <c r="H207" s="3" t="s">
        <v>991</v>
      </c>
      <c r="I207" s="2" t="s">
        <v>1039</v>
      </c>
      <c r="J207" s="3" t="s">
        <v>1040</v>
      </c>
      <c r="K207" s="2" t="s">
        <v>1053</v>
      </c>
      <c r="L207" s="3" t="s">
        <v>1054</v>
      </c>
      <c r="N207" s="4" t="s">
        <v>38</v>
      </c>
      <c r="O207" s="4" t="s">
        <v>38</v>
      </c>
      <c r="Q207" s="4" t="s">
        <v>38</v>
      </c>
      <c r="R207" s="2" t="s">
        <v>1050</v>
      </c>
      <c r="S207" s="2" t="s">
        <v>40</v>
      </c>
      <c r="T207" s="3" t="s">
        <v>95</v>
      </c>
      <c r="U207" s="2" t="s">
        <v>42</v>
      </c>
      <c r="V207" s="2" t="s">
        <v>43</v>
      </c>
      <c r="Y207" s="2" t="str">
        <f>VLOOKUP(C207,[1]Cat_Objetos!$C$4:$C$346,1,FALSE)</f>
        <v>Listado de entrega o devolución de materiales, equipos para la captación y manuales</v>
      </c>
    </row>
    <row r="208" spans="1:25" ht="29.15" x14ac:dyDescent="0.4">
      <c r="A208" s="4">
        <f t="shared" si="3"/>
        <v>205</v>
      </c>
      <c r="B208" s="2" t="s">
        <v>1055</v>
      </c>
      <c r="C208" s="3" t="s">
        <v>1056</v>
      </c>
      <c r="E208" s="2" t="s">
        <v>988</v>
      </c>
      <c r="F208" s="2" t="s">
        <v>989</v>
      </c>
      <c r="G208" s="2" t="s">
        <v>990</v>
      </c>
      <c r="H208" s="3" t="s">
        <v>991</v>
      </c>
      <c r="I208" s="2" t="s">
        <v>1039</v>
      </c>
      <c r="J208" s="3" t="s">
        <v>1040</v>
      </c>
      <c r="K208" s="2" t="s">
        <v>1053</v>
      </c>
      <c r="L208" s="3" t="s">
        <v>1054</v>
      </c>
      <c r="N208" s="4" t="s">
        <v>38</v>
      </c>
      <c r="O208" s="4" t="s">
        <v>38</v>
      </c>
      <c r="Q208" s="4" t="s">
        <v>38</v>
      </c>
      <c r="R208" s="2" t="s">
        <v>1050</v>
      </c>
      <c r="S208" s="2" t="s">
        <v>40</v>
      </c>
      <c r="T208" s="3" t="s">
        <v>95</v>
      </c>
      <c r="U208" s="2" t="s">
        <v>42</v>
      </c>
      <c r="V208" s="2" t="s">
        <v>43</v>
      </c>
      <c r="Y208" s="2" t="str">
        <f>VLOOKUP(C208,[1]Cat_Objetos!$C$4:$C$346,1,FALSE)</f>
        <v>Notificación DI-DGOR de disponibilidad de sistemas para capacitación</v>
      </c>
    </row>
    <row r="209" spans="1:25" ht="29.15" x14ac:dyDescent="0.4">
      <c r="A209" s="4">
        <f t="shared" si="3"/>
        <v>206</v>
      </c>
      <c r="B209" s="2" t="s">
        <v>1057</v>
      </c>
      <c r="C209" s="3" t="s">
        <v>1058</v>
      </c>
      <c r="D209" s="2" t="s">
        <v>1059</v>
      </c>
      <c r="E209" s="2" t="s">
        <v>988</v>
      </c>
      <c r="F209" s="2" t="s">
        <v>989</v>
      </c>
      <c r="G209" s="2" t="s">
        <v>990</v>
      </c>
      <c r="H209" s="3" t="s">
        <v>991</v>
      </c>
      <c r="I209" s="2" t="s">
        <v>1039</v>
      </c>
      <c r="J209" s="3" t="s">
        <v>1040</v>
      </c>
      <c r="K209" s="2" t="s">
        <v>1060</v>
      </c>
      <c r="L209" s="3" t="s">
        <v>1061</v>
      </c>
      <c r="N209" s="4" t="s">
        <v>38</v>
      </c>
      <c r="O209" s="4" t="s">
        <v>38</v>
      </c>
      <c r="Q209" s="4" t="s">
        <v>38</v>
      </c>
      <c r="R209" s="2" t="s">
        <v>1062</v>
      </c>
      <c r="S209" s="2" t="s">
        <v>40</v>
      </c>
      <c r="T209" s="3" t="s">
        <v>95</v>
      </c>
      <c r="U209" s="2" t="s">
        <v>42</v>
      </c>
      <c r="V209" s="2" t="s">
        <v>43</v>
      </c>
      <c r="Y209" s="2" t="str">
        <f>VLOOKUP(C209,[1]Cat_Objetos!$C$4:$C$346,1,FALSE)</f>
        <v>Plataforma de consulta para el ámbito territorial</v>
      </c>
    </row>
    <row r="210" spans="1:25" ht="29.15" x14ac:dyDescent="0.4">
      <c r="A210" s="4">
        <f t="shared" si="3"/>
        <v>207</v>
      </c>
      <c r="B210" s="2" t="s">
        <v>1063</v>
      </c>
      <c r="C210" s="3" t="s">
        <v>1064</v>
      </c>
      <c r="E210" s="2" t="s">
        <v>988</v>
      </c>
      <c r="F210" s="2" t="s">
        <v>989</v>
      </c>
      <c r="G210" s="2" t="s">
        <v>990</v>
      </c>
      <c r="H210" s="3" t="s">
        <v>991</v>
      </c>
      <c r="I210" s="2" t="s">
        <v>1039</v>
      </c>
      <c r="J210" s="3" t="s">
        <v>1040</v>
      </c>
      <c r="K210" s="2" t="s">
        <v>1065</v>
      </c>
      <c r="L210" s="3" t="s">
        <v>1066</v>
      </c>
      <c r="N210" s="4" t="s">
        <v>38</v>
      </c>
      <c r="O210" s="4" t="s">
        <v>38</v>
      </c>
      <c r="Q210" s="4" t="s">
        <v>38</v>
      </c>
      <c r="R210" s="2" t="s">
        <v>1067</v>
      </c>
      <c r="S210" s="2" t="s">
        <v>40</v>
      </c>
      <c r="T210" s="3" t="s">
        <v>95</v>
      </c>
      <c r="U210" s="2" t="s">
        <v>42</v>
      </c>
      <c r="V210" s="2" t="s">
        <v>43</v>
      </c>
      <c r="Y210" s="2" t="str">
        <f>VLOOKUP(C210,[1]Cat_Objetos!$C$4:$C$346,1,FALSE)</f>
        <v>Notificación de sistemas listos para el operativo de campo en OC</v>
      </c>
    </row>
    <row r="211" spans="1:25" ht="29.15" x14ac:dyDescent="0.4">
      <c r="A211" s="4">
        <f t="shared" si="3"/>
        <v>208</v>
      </c>
      <c r="B211" s="2" t="s">
        <v>1068</v>
      </c>
      <c r="C211" s="3" t="s">
        <v>1069</v>
      </c>
      <c r="E211" s="2" t="s">
        <v>988</v>
      </c>
      <c r="F211" s="2" t="s">
        <v>989</v>
      </c>
      <c r="G211" s="2" t="s">
        <v>990</v>
      </c>
      <c r="H211" s="3" t="s">
        <v>991</v>
      </c>
      <c r="I211" s="2" t="s">
        <v>1039</v>
      </c>
      <c r="J211" s="3" t="s">
        <v>1040</v>
      </c>
      <c r="K211" s="2" t="s">
        <v>1070</v>
      </c>
      <c r="L211" s="3" t="s">
        <v>1071</v>
      </c>
      <c r="N211" s="4" t="s">
        <v>38</v>
      </c>
      <c r="O211" s="4" t="s">
        <v>38</v>
      </c>
      <c r="Q211" s="4" t="s">
        <v>38</v>
      </c>
      <c r="R211" s="2" t="s">
        <v>1072</v>
      </c>
      <c r="S211" s="2" t="s">
        <v>40</v>
      </c>
      <c r="T211" s="3" t="s">
        <v>95</v>
      </c>
      <c r="U211" s="2" t="s">
        <v>42</v>
      </c>
      <c r="V211" s="2" t="s">
        <v>43</v>
      </c>
      <c r="Y211" s="2" t="str">
        <f>VLOOKUP(C211,[1]Cat_Objetos!$C$4:$C$346,1,FALSE)</f>
        <v>Listado de equipos verificados en AT</v>
      </c>
    </row>
    <row r="212" spans="1:25" ht="29.15" x14ac:dyDescent="0.4">
      <c r="A212" s="4">
        <f t="shared" si="3"/>
        <v>209</v>
      </c>
      <c r="B212" s="2" t="s">
        <v>1073</v>
      </c>
      <c r="C212" s="3" t="s">
        <v>1074</v>
      </c>
      <c r="E212" s="2" t="s">
        <v>988</v>
      </c>
      <c r="F212" s="2" t="s">
        <v>989</v>
      </c>
      <c r="G212" s="2" t="s">
        <v>990</v>
      </c>
      <c r="H212" s="3" t="s">
        <v>991</v>
      </c>
      <c r="I212" s="2" t="s">
        <v>1039</v>
      </c>
      <c r="J212" s="3" t="s">
        <v>1040</v>
      </c>
      <c r="K212" s="2" t="s">
        <v>1070</v>
      </c>
      <c r="L212" s="3" t="s">
        <v>1071</v>
      </c>
      <c r="N212" s="4" t="s">
        <v>38</v>
      </c>
      <c r="O212" s="4" t="s">
        <v>38</v>
      </c>
      <c r="Q212" s="4" t="s">
        <v>38</v>
      </c>
      <c r="R212" s="2" t="s">
        <v>1075</v>
      </c>
      <c r="S212" s="2" t="s">
        <v>40</v>
      </c>
      <c r="T212" s="3" t="s">
        <v>95</v>
      </c>
      <c r="U212" s="2" t="s">
        <v>42</v>
      </c>
      <c r="V212" s="2" t="s">
        <v>43</v>
      </c>
      <c r="Y212" s="2" t="str">
        <f>VLOOKUP(C212,[1]Cat_Objetos!$C$4:$C$346,1,FALSE)</f>
        <v>Aviso de disponibilidad de los sistemas computacionales para la captación</v>
      </c>
    </row>
    <row r="213" spans="1:25" ht="29.15" x14ac:dyDescent="0.4">
      <c r="A213" s="4">
        <f t="shared" si="3"/>
        <v>210</v>
      </c>
      <c r="B213" s="2" t="s">
        <v>1076</v>
      </c>
      <c r="C213" s="3" t="s">
        <v>1077</v>
      </c>
      <c r="E213" s="2" t="s">
        <v>988</v>
      </c>
      <c r="F213" s="2" t="s">
        <v>989</v>
      </c>
      <c r="G213" s="2" t="s">
        <v>990</v>
      </c>
      <c r="H213" s="3" t="s">
        <v>991</v>
      </c>
      <c r="I213" s="2" t="s">
        <v>1039</v>
      </c>
      <c r="J213" s="3" t="s">
        <v>1040</v>
      </c>
      <c r="K213" s="2" t="s">
        <v>1078</v>
      </c>
      <c r="L213" s="3" t="s">
        <v>1079</v>
      </c>
      <c r="N213" s="4" t="s">
        <v>38</v>
      </c>
      <c r="O213" s="4" t="s">
        <v>38</v>
      </c>
      <c r="Q213" s="4" t="s">
        <v>38</v>
      </c>
      <c r="R213" s="2" t="s">
        <v>1043</v>
      </c>
      <c r="S213" s="2" t="s">
        <v>40</v>
      </c>
      <c r="T213" s="3" t="s">
        <v>95</v>
      </c>
      <c r="U213" s="2" t="s">
        <v>42</v>
      </c>
      <c r="V213" s="2" t="s">
        <v>43</v>
      </c>
      <c r="Y213" s="2" t="str">
        <f>VLOOKUP(C213,[1]Cat_Objetos!$C$4:$C$346,1,FALSE)</f>
        <v>Cuestionario y materiales impresos</v>
      </c>
    </row>
    <row r="214" spans="1:25" ht="29.15" x14ac:dyDescent="0.4">
      <c r="A214" s="4">
        <f t="shared" si="3"/>
        <v>211</v>
      </c>
      <c r="B214" s="2" t="s">
        <v>1080</v>
      </c>
      <c r="C214" s="3" t="s">
        <v>1081</v>
      </c>
      <c r="E214" s="2" t="s">
        <v>988</v>
      </c>
      <c r="F214" s="2" t="s">
        <v>989</v>
      </c>
      <c r="G214" s="2" t="s">
        <v>990</v>
      </c>
      <c r="H214" s="3" t="s">
        <v>991</v>
      </c>
      <c r="I214" s="2" t="s">
        <v>1039</v>
      </c>
      <c r="J214" s="3" t="s">
        <v>1040</v>
      </c>
      <c r="K214" s="2" t="s">
        <v>1082</v>
      </c>
      <c r="L214" s="3" t="s">
        <v>1083</v>
      </c>
      <c r="N214" s="4" t="s">
        <v>38</v>
      </c>
      <c r="O214" s="4" t="s">
        <v>38</v>
      </c>
      <c r="Q214" s="4" t="s">
        <v>38</v>
      </c>
      <c r="R214" s="2" t="s">
        <v>1043</v>
      </c>
      <c r="S214" s="2" t="s">
        <v>40</v>
      </c>
      <c r="T214" s="3" t="s">
        <v>95</v>
      </c>
      <c r="U214" s="2" t="s">
        <v>42</v>
      </c>
      <c r="V214" s="2" t="s">
        <v>43</v>
      </c>
      <c r="Y214" s="2" t="str">
        <f>VLOOKUP(C214,[1]Cat_Objetos!$C$4:$C$346,1,FALSE)</f>
        <v>Reporte de materiales, equipos y suministros distribuidos</v>
      </c>
    </row>
    <row r="215" spans="1:25" ht="29.15" x14ac:dyDescent="0.4">
      <c r="A215" s="4">
        <f t="shared" si="3"/>
        <v>212</v>
      </c>
      <c r="B215" s="2" t="s">
        <v>1084</v>
      </c>
      <c r="C215" s="3" t="s">
        <v>1085</v>
      </c>
      <c r="E215" s="2" t="s">
        <v>988</v>
      </c>
      <c r="F215" s="2" t="s">
        <v>989</v>
      </c>
      <c r="G215" s="2" t="s">
        <v>990</v>
      </c>
      <c r="H215" s="3" t="s">
        <v>991</v>
      </c>
      <c r="I215" s="2" t="s">
        <v>1039</v>
      </c>
      <c r="J215" s="3" t="s">
        <v>1040</v>
      </c>
      <c r="K215" s="2" t="s">
        <v>1086</v>
      </c>
      <c r="L215" s="3" t="s">
        <v>1087</v>
      </c>
      <c r="N215" s="4" t="s">
        <v>38</v>
      </c>
      <c r="O215" s="4" t="s">
        <v>38</v>
      </c>
      <c r="Q215" s="4" t="s">
        <v>38</v>
      </c>
      <c r="R215" s="2" t="s">
        <v>1010</v>
      </c>
      <c r="S215" s="2" t="s">
        <v>40</v>
      </c>
      <c r="T215" s="3" t="s">
        <v>95</v>
      </c>
      <c r="U215" s="2" t="s">
        <v>42</v>
      </c>
      <c r="V215" s="2" t="s">
        <v>43</v>
      </c>
      <c r="Y215" s="2" t="str">
        <f>VLOOKUP(C215,[1]Cat_Objetos!$C$4:$C$346,1,FALSE)</f>
        <v>Relación de recursos asignados</v>
      </c>
    </row>
    <row r="216" spans="1:25" ht="29.15" x14ac:dyDescent="0.4">
      <c r="A216" s="4">
        <f t="shared" si="3"/>
        <v>213</v>
      </c>
      <c r="B216" s="2" t="s">
        <v>1088</v>
      </c>
      <c r="C216" s="3" t="s">
        <v>1089</v>
      </c>
      <c r="D216" s="2" t="s">
        <v>1090</v>
      </c>
      <c r="E216" s="2" t="s">
        <v>988</v>
      </c>
      <c r="F216" s="2" t="s">
        <v>989</v>
      </c>
      <c r="G216" s="2" t="s">
        <v>990</v>
      </c>
      <c r="H216" s="3" t="s">
        <v>991</v>
      </c>
      <c r="I216" s="2" t="s">
        <v>1091</v>
      </c>
      <c r="J216" s="3" t="s">
        <v>1092</v>
      </c>
      <c r="K216" s="2" t="s">
        <v>1093</v>
      </c>
      <c r="L216" s="3" t="s">
        <v>1094</v>
      </c>
      <c r="N216" s="4" t="s">
        <v>38</v>
      </c>
      <c r="O216" s="4" t="s">
        <v>38</v>
      </c>
      <c r="Q216" s="4" t="s">
        <v>38</v>
      </c>
      <c r="R216" s="2" t="s">
        <v>1095</v>
      </c>
      <c r="S216" s="2" t="s">
        <v>40</v>
      </c>
      <c r="T216" s="3" t="s">
        <v>95</v>
      </c>
      <c r="U216" s="2" t="s">
        <v>42</v>
      </c>
      <c r="V216" s="2" t="s">
        <v>43</v>
      </c>
      <c r="Y216" s="2" t="str">
        <f>VLOOKUP(C216,[1]Cat_Objetos!$C$4:$C$346,1,FALSE)</f>
        <v>Reporte de la capacitación a personal para la captación en OC</v>
      </c>
    </row>
    <row r="217" spans="1:25" ht="29.15" x14ac:dyDescent="0.4">
      <c r="A217" s="4">
        <f t="shared" si="3"/>
        <v>214</v>
      </c>
      <c r="B217" s="2" t="s">
        <v>1096</v>
      </c>
      <c r="C217" s="3" t="s">
        <v>1097</v>
      </c>
      <c r="D217" s="8"/>
      <c r="E217" s="2" t="s">
        <v>988</v>
      </c>
      <c r="F217" s="2" t="s">
        <v>989</v>
      </c>
      <c r="G217" s="2" t="s">
        <v>990</v>
      </c>
      <c r="H217" s="3" t="s">
        <v>991</v>
      </c>
      <c r="I217" s="2" t="s">
        <v>1091</v>
      </c>
      <c r="J217" s="3" t="s">
        <v>1092</v>
      </c>
      <c r="K217" s="2" t="s">
        <v>1093</v>
      </c>
      <c r="L217" s="3" t="s">
        <v>1094</v>
      </c>
      <c r="N217" s="4" t="s">
        <v>38</v>
      </c>
      <c r="O217" s="4" t="s">
        <v>38</v>
      </c>
      <c r="Q217" s="4" t="s">
        <v>38</v>
      </c>
      <c r="R217" s="2" t="s">
        <v>1095</v>
      </c>
      <c r="S217" s="2" t="s">
        <v>40</v>
      </c>
      <c r="T217" s="3" t="s">
        <v>95</v>
      </c>
      <c r="U217" s="2" t="s">
        <v>42</v>
      </c>
      <c r="V217" s="2" t="s">
        <v>43</v>
      </c>
      <c r="Y217" s="2" t="str">
        <f>VLOOKUP(C217,[1]Cat_Objetos!$C$4:$C$346,1,FALSE)</f>
        <v>Evaluación del personal capacitado para la captación en OC</v>
      </c>
    </row>
    <row r="218" spans="1:25" ht="29.15" x14ac:dyDescent="0.4">
      <c r="A218" s="4">
        <f t="shared" si="3"/>
        <v>215</v>
      </c>
      <c r="B218" s="2" t="s">
        <v>1098</v>
      </c>
      <c r="C218" s="3" t="s">
        <v>1099</v>
      </c>
      <c r="D218" s="2" t="s">
        <v>1100</v>
      </c>
      <c r="E218" s="2" t="s">
        <v>988</v>
      </c>
      <c r="F218" s="2" t="s">
        <v>989</v>
      </c>
      <c r="G218" s="2" t="s">
        <v>990</v>
      </c>
      <c r="H218" s="3" t="s">
        <v>991</v>
      </c>
      <c r="I218" s="2" t="s">
        <v>1091</v>
      </c>
      <c r="J218" s="3" t="s">
        <v>1092</v>
      </c>
      <c r="K218" s="2" t="s">
        <v>1101</v>
      </c>
      <c r="L218" s="3" t="s">
        <v>1102</v>
      </c>
      <c r="N218" s="4" t="s">
        <v>38</v>
      </c>
      <c r="O218" s="4" t="s">
        <v>38</v>
      </c>
      <c r="Q218" s="4" t="s">
        <v>38</v>
      </c>
      <c r="R218" s="2" t="s">
        <v>1103</v>
      </c>
      <c r="S218" s="2" t="s">
        <v>40</v>
      </c>
      <c r="T218" s="3" t="s">
        <v>95</v>
      </c>
      <c r="U218" s="2" t="s">
        <v>42</v>
      </c>
      <c r="V218" s="2" t="s">
        <v>43</v>
      </c>
      <c r="Y218" s="2" t="str">
        <f>VLOOKUP(C218,[1]Cat_Objetos!$C$4:$C$346,1,FALSE)</f>
        <v>Reporte de VCF de capacitación</v>
      </c>
    </row>
    <row r="219" spans="1:25" ht="29.15" x14ac:dyDescent="0.4">
      <c r="A219" s="4">
        <f t="shared" si="3"/>
        <v>216</v>
      </c>
      <c r="B219" s="2" t="s">
        <v>1104</v>
      </c>
      <c r="C219" s="3" t="s">
        <v>1105</v>
      </c>
      <c r="D219" s="8"/>
      <c r="E219" s="2" t="s">
        <v>988</v>
      </c>
      <c r="F219" s="2" t="s">
        <v>989</v>
      </c>
      <c r="G219" s="2" t="s">
        <v>990</v>
      </c>
      <c r="H219" s="3" t="s">
        <v>991</v>
      </c>
      <c r="I219" s="2" t="s">
        <v>1091</v>
      </c>
      <c r="J219" s="3" t="s">
        <v>1092</v>
      </c>
      <c r="K219" s="2" t="s">
        <v>1101</v>
      </c>
      <c r="L219" s="3" t="s">
        <v>1102</v>
      </c>
      <c r="N219" s="4" t="s">
        <v>38</v>
      </c>
      <c r="O219" s="4" t="s">
        <v>38</v>
      </c>
      <c r="Q219" s="4" t="s">
        <v>38</v>
      </c>
      <c r="R219" s="2" t="s">
        <v>1095</v>
      </c>
      <c r="S219" s="2" t="s">
        <v>40</v>
      </c>
      <c r="T219" s="3" t="s">
        <v>95</v>
      </c>
      <c r="U219" s="2" t="s">
        <v>42</v>
      </c>
      <c r="V219" s="2" t="s">
        <v>43</v>
      </c>
      <c r="Y219" s="2" t="str">
        <f>VLOOKUP(C219,[1]Cat_Objetos!$C$4:$C$346,1,FALSE)</f>
        <v>Evaluación de figuras operativas capacitadas en AT</v>
      </c>
    </row>
    <row r="220" spans="1:25" ht="29.15" x14ac:dyDescent="0.4">
      <c r="A220" s="4">
        <f t="shared" si="3"/>
        <v>217</v>
      </c>
      <c r="B220" s="2" t="s">
        <v>1106</v>
      </c>
      <c r="C220" s="3" t="s">
        <v>1107</v>
      </c>
      <c r="D220" s="8"/>
      <c r="E220" s="2" t="s">
        <v>988</v>
      </c>
      <c r="F220" s="2" t="s">
        <v>989</v>
      </c>
      <c r="G220" s="2" t="s">
        <v>990</v>
      </c>
      <c r="H220" s="3" t="s">
        <v>991</v>
      </c>
      <c r="I220" s="2" t="s">
        <v>1091</v>
      </c>
      <c r="J220" s="3" t="s">
        <v>1092</v>
      </c>
      <c r="K220" s="2" t="s">
        <v>1101</v>
      </c>
      <c r="L220" s="3" t="s">
        <v>1102</v>
      </c>
      <c r="N220" s="4" t="s">
        <v>38</v>
      </c>
      <c r="O220" s="4" t="s">
        <v>38</v>
      </c>
      <c r="Q220" s="4" t="s">
        <v>38</v>
      </c>
      <c r="R220" s="2" t="s">
        <v>1103</v>
      </c>
      <c r="S220" s="2" t="s">
        <v>40</v>
      </c>
      <c r="T220" s="3" t="s">
        <v>95</v>
      </c>
      <c r="U220" s="2" t="s">
        <v>42</v>
      </c>
      <c r="V220" s="2" t="s">
        <v>43</v>
      </c>
      <c r="Y220" s="2" t="str">
        <f>VLOOKUP(C220,[1]Cat_Objetos!$C$4:$C$346,1,FALSE)</f>
        <v>Informe de capacitación (de VCF a RF)</v>
      </c>
    </row>
    <row r="221" spans="1:25" ht="29.15" x14ac:dyDescent="0.4">
      <c r="A221" s="4">
        <f t="shared" si="3"/>
        <v>218</v>
      </c>
      <c r="B221" s="2" t="s">
        <v>1108</v>
      </c>
      <c r="C221" s="3" t="s">
        <v>1109</v>
      </c>
      <c r="E221" s="2" t="s">
        <v>988</v>
      </c>
      <c r="F221" s="2" t="s">
        <v>989</v>
      </c>
      <c r="G221" s="2" t="s">
        <v>990</v>
      </c>
      <c r="H221" s="3" t="s">
        <v>991</v>
      </c>
      <c r="I221" s="2" t="s">
        <v>1091</v>
      </c>
      <c r="J221" s="3" t="s">
        <v>1092</v>
      </c>
      <c r="K221" s="2" t="s">
        <v>1110</v>
      </c>
      <c r="L221" s="3" t="s">
        <v>1111</v>
      </c>
      <c r="N221" s="4" t="s">
        <v>38</v>
      </c>
      <c r="O221" s="4" t="s">
        <v>311</v>
      </c>
      <c r="Q221" s="4" t="s">
        <v>311</v>
      </c>
      <c r="R221" s="2" t="s">
        <v>1095</v>
      </c>
      <c r="S221" s="2" t="s">
        <v>40</v>
      </c>
      <c r="T221" s="3" t="s">
        <v>95</v>
      </c>
      <c r="U221" s="2" t="s">
        <v>42</v>
      </c>
      <c r="V221" s="2" t="s">
        <v>43</v>
      </c>
      <c r="Y221" s="2" t="str">
        <f>VLOOKUP(C221,[1]Cat_Objetos!$C$4:$C$346,1,FALSE)</f>
        <v>Reporte de la capacitación a personal para la codificación en OC</v>
      </c>
    </row>
    <row r="222" spans="1:25" ht="29.15" x14ac:dyDescent="0.4">
      <c r="A222" s="4">
        <f t="shared" si="3"/>
        <v>219</v>
      </c>
      <c r="B222" s="2" t="s">
        <v>1112</v>
      </c>
      <c r="C222" s="3" t="s">
        <v>1113</v>
      </c>
      <c r="E222" s="2" t="s">
        <v>988</v>
      </c>
      <c r="F222" s="2" t="s">
        <v>989</v>
      </c>
      <c r="G222" s="2" t="s">
        <v>990</v>
      </c>
      <c r="H222" s="3" t="s">
        <v>991</v>
      </c>
      <c r="I222" s="2" t="s">
        <v>1091</v>
      </c>
      <c r="J222" s="3" t="s">
        <v>1092</v>
      </c>
      <c r="K222" s="2" t="s">
        <v>1110</v>
      </c>
      <c r="L222" s="3" t="s">
        <v>1111</v>
      </c>
      <c r="N222" s="4" t="s">
        <v>38</v>
      </c>
      <c r="O222" s="4" t="s">
        <v>311</v>
      </c>
      <c r="Q222" s="4" t="s">
        <v>311</v>
      </c>
      <c r="R222" s="2" t="s">
        <v>1095</v>
      </c>
      <c r="S222" s="2" t="s">
        <v>40</v>
      </c>
      <c r="T222" s="3" t="s">
        <v>95</v>
      </c>
      <c r="U222" s="2" t="s">
        <v>42</v>
      </c>
      <c r="V222" s="2" t="s">
        <v>43</v>
      </c>
      <c r="Y222" s="2" t="str">
        <f>VLOOKUP(C222,[1]Cat_Objetos!$C$4:$C$346,1,FALSE)</f>
        <v>Evaluación del personal capacitado para la codificación en OC</v>
      </c>
    </row>
    <row r="223" spans="1:25" ht="29.15" x14ac:dyDescent="0.4">
      <c r="A223" s="4">
        <f t="shared" si="3"/>
        <v>220</v>
      </c>
      <c r="B223" s="2" t="s">
        <v>1114</v>
      </c>
      <c r="C223" s="3" t="s">
        <v>1115</v>
      </c>
      <c r="E223" s="2" t="s">
        <v>988</v>
      </c>
      <c r="F223" s="2" t="s">
        <v>989</v>
      </c>
      <c r="G223" s="2" t="s">
        <v>990</v>
      </c>
      <c r="H223" s="3" t="s">
        <v>991</v>
      </c>
      <c r="I223" s="2" t="s">
        <v>1091</v>
      </c>
      <c r="J223" s="3" t="s">
        <v>1092</v>
      </c>
      <c r="K223" s="2" t="s">
        <v>1116</v>
      </c>
      <c r="L223" s="3" t="s">
        <v>1117</v>
      </c>
      <c r="N223" s="4" t="s">
        <v>38</v>
      </c>
      <c r="O223" s="4" t="s">
        <v>311</v>
      </c>
      <c r="Q223" s="4" t="s">
        <v>311</v>
      </c>
      <c r="R223" s="2" t="s">
        <v>1095</v>
      </c>
      <c r="S223" s="2" t="s">
        <v>40</v>
      </c>
      <c r="T223" s="3" t="s">
        <v>95</v>
      </c>
      <c r="U223" s="2" t="s">
        <v>42</v>
      </c>
      <c r="V223" s="2" t="s">
        <v>43</v>
      </c>
      <c r="Y223" s="2" t="str">
        <f>VLOOKUP(C223,[1]Cat_Objetos!$C$4:$C$346,1,FALSE)</f>
        <v>Reporte de la capacitación al personal para la validación, edición e imputación en OC</v>
      </c>
    </row>
    <row r="224" spans="1:25" ht="29.15" x14ac:dyDescent="0.4">
      <c r="A224" s="4">
        <f t="shared" si="3"/>
        <v>221</v>
      </c>
      <c r="B224" s="2" t="s">
        <v>1118</v>
      </c>
      <c r="C224" s="3" t="s">
        <v>1119</v>
      </c>
      <c r="E224" s="2" t="s">
        <v>988</v>
      </c>
      <c r="F224" s="2" t="s">
        <v>989</v>
      </c>
      <c r="G224" s="2" t="s">
        <v>990</v>
      </c>
      <c r="H224" s="3" t="s">
        <v>991</v>
      </c>
      <c r="I224" s="2" t="s">
        <v>1091</v>
      </c>
      <c r="J224" s="3" t="s">
        <v>1092</v>
      </c>
      <c r="K224" s="2" t="s">
        <v>1116</v>
      </c>
      <c r="L224" s="3" t="s">
        <v>1117</v>
      </c>
      <c r="N224" s="4" t="s">
        <v>38</v>
      </c>
      <c r="O224" s="4" t="s">
        <v>311</v>
      </c>
      <c r="Q224" s="4" t="s">
        <v>311</v>
      </c>
      <c r="R224" s="2" t="s">
        <v>1095</v>
      </c>
      <c r="S224" s="2" t="s">
        <v>40</v>
      </c>
      <c r="T224" s="3" t="s">
        <v>95</v>
      </c>
      <c r="U224" s="2" t="s">
        <v>42</v>
      </c>
      <c r="V224" s="2" t="s">
        <v>43</v>
      </c>
      <c r="Y224" s="2" t="str">
        <f>VLOOKUP(C224,[1]Cat_Objetos!$C$4:$C$346,1,FALSE)</f>
        <v>Evaluación del personal capacitado para la validación, edición e imputación en OC</v>
      </c>
    </row>
    <row r="225" spans="1:25" ht="29.15" x14ac:dyDescent="0.4">
      <c r="A225" s="4">
        <f t="shared" si="3"/>
        <v>222</v>
      </c>
      <c r="B225" s="2" t="s">
        <v>1120</v>
      </c>
      <c r="C225" s="3" t="s">
        <v>1121</v>
      </c>
      <c r="D225" s="8"/>
      <c r="E225" s="2" t="s">
        <v>988</v>
      </c>
      <c r="F225" s="2" t="s">
        <v>989</v>
      </c>
      <c r="G225" s="2" t="s">
        <v>1122</v>
      </c>
      <c r="H225" s="3" t="s">
        <v>1123</v>
      </c>
      <c r="I225" s="2" t="s">
        <v>1124</v>
      </c>
      <c r="J225" s="3" t="s">
        <v>1125</v>
      </c>
      <c r="K225" s="2" t="s">
        <v>1126</v>
      </c>
      <c r="L225" s="3" t="s">
        <v>1127</v>
      </c>
      <c r="N225" s="4" t="s">
        <v>38</v>
      </c>
      <c r="O225" s="4" t="s">
        <v>38</v>
      </c>
      <c r="Q225" s="4" t="s">
        <v>38</v>
      </c>
      <c r="R225" s="2" t="s">
        <v>1025</v>
      </c>
      <c r="S225" s="2" t="s">
        <v>40</v>
      </c>
      <c r="T225" s="3" t="s">
        <v>95</v>
      </c>
      <c r="U225" s="2" t="s">
        <v>42</v>
      </c>
      <c r="V225" s="2" t="s">
        <v>43</v>
      </c>
      <c r="Y225" s="2" t="str">
        <f>VLOOKUP(C225,[1]Cat_Objetos!$C$4:$C$346,1,FALSE)</f>
        <v>Resultado de la entrevista</v>
      </c>
    </row>
    <row r="226" spans="1:25" ht="29.15" x14ac:dyDescent="0.4">
      <c r="A226" s="4">
        <f t="shared" si="3"/>
        <v>223</v>
      </c>
      <c r="B226" s="2" t="s">
        <v>1128</v>
      </c>
      <c r="C226" s="3" t="s">
        <v>1129</v>
      </c>
      <c r="D226" s="8"/>
      <c r="E226" s="2" t="s">
        <v>988</v>
      </c>
      <c r="F226" s="2" t="s">
        <v>989</v>
      </c>
      <c r="G226" s="2" t="s">
        <v>1122</v>
      </c>
      <c r="H226" s="3" t="s">
        <v>1123</v>
      </c>
      <c r="I226" s="2" t="s">
        <v>1124</v>
      </c>
      <c r="J226" s="3" t="s">
        <v>1125</v>
      </c>
      <c r="K226" s="2" t="s">
        <v>1126</v>
      </c>
      <c r="L226" s="3" t="s">
        <v>1127</v>
      </c>
      <c r="N226" s="4" t="s">
        <v>38</v>
      </c>
      <c r="O226" s="4" t="s">
        <v>38</v>
      </c>
      <c r="Q226" s="4" t="s">
        <v>38</v>
      </c>
      <c r="R226" s="2" t="s">
        <v>1130</v>
      </c>
      <c r="S226" s="2" t="s">
        <v>40</v>
      </c>
      <c r="T226" s="3" t="s">
        <v>95</v>
      </c>
      <c r="U226" s="2" t="s">
        <v>42</v>
      </c>
      <c r="V226" s="2" t="s">
        <v>43</v>
      </c>
      <c r="Y226" s="2" t="str">
        <f>VLOOKUP(C226,[1]Cat_Objetos!$C$4:$C$346,1,FALSE)</f>
        <v>Datos captados de los informantes en papel (en caso de ser necesario)</v>
      </c>
    </row>
    <row r="227" spans="1:25" ht="29.15" x14ac:dyDescent="0.4">
      <c r="A227" s="4">
        <f t="shared" si="3"/>
        <v>224</v>
      </c>
      <c r="B227" s="2" t="s">
        <v>1131</v>
      </c>
      <c r="C227" s="3" t="s">
        <v>1132</v>
      </c>
      <c r="D227" s="8"/>
      <c r="E227" s="2" t="s">
        <v>988</v>
      </c>
      <c r="F227" s="2" t="s">
        <v>989</v>
      </c>
      <c r="G227" s="2" t="s">
        <v>1122</v>
      </c>
      <c r="H227" s="3" t="s">
        <v>1123</v>
      </c>
      <c r="I227" s="2" t="s">
        <v>1124</v>
      </c>
      <c r="J227" s="3" t="s">
        <v>1125</v>
      </c>
      <c r="K227" s="2" t="s">
        <v>1126</v>
      </c>
      <c r="L227" s="3" t="s">
        <v>1127</v>
      </c>
      <c r="N227" s="4" t="s">
        <v>38</v>
      </c>
      <c r="O227" s="4" t="s">
        <v>38</v>
      </c>
      <c r="Q227" s="4" t="s">
        <v>38</v>
      </c>
      <c r="R227" s="2" t="s">
        <v>1005</v>
      </c>
      <c r="S227" s="2" t="s">
        <v>40</v>
      </c>
      <c r="T227" s="3" t="s">
        <v>905</v>
      </c>
      <c r="U227" s="2" t="s">
        <v>42</v>
      </c>
      <c r="V227" s="2" t="s">
        <v>273</v>
      </c>
      <c r="Y227" s="2" t="str">
        <f>VLOOKUP(C227,[1]Cat_Objetos!$C$4:$C$346,1,FALSE)</f>
        <v>Datos de los cuestionarios en el sistema para la captación</v>
      </c>
    </row>
    <row r="228" spans="1:25" ht="29.15" x14ac:dyDescent="0.4">
      <c r="A228" s="4">
        <f t="shared" si="3"/>
        <v>225</v>
      </c>
      <c r="B228" s="2" t="s">
        <v>1133</v>
      </c>
      <c r="C228" s="3" t="s">
        <v>1134</v>
      </c>
      <c r="D228" s="8"/>
      <c r="E228" s="2" t="s">
        <v>988</v>
      </c>
      <c r="F228" s="2" t="s">
        <v>989</v>
      </c>
      <c r="G228" s="2" t="s">
        <v>1122</v>
      </c>
      <c r="H228" s="3" t="s">
        <v>1123</v>
      </c>
      <c r="I228" s="2" t="s">
        <v>1124</v>
      </c>
      <c r="J228" s="3" t="s">
        <v>1125</v>
      </c>
      <c r="K228" s="2" t="s">
        <v>1135</v>
      </c>
      <c r="L228" s="3" t="s">
        <v>1136</v>
      </c>
      <c r="N228" s="4" t="s">
        <v>38</v>
      </c>
      <c r="O228" s="4" t="s">
        <v>38</v>
      </c>
      <c r="Q228" s="4" t="s">
        <v>38</v>
      </c>
      <c r="R228" s="2" t="s">
        <v>1137</v>
      </c>
      <c r="S228" s="2" t="s">
        <v>40</v>
      </c>
      <c r="T228" s="3" t="s">
        <v>95</v>
      </c>
      <c r="U228" s="2" t="s">
        <v>42</v>
      </c>
      <c r="V228" s="2" t="s">
        <v>43</v>
      </c>
      <c r="Y228" s="2" t="str">
        <f>VLOOKUP(C228,[1]Cat_Objetos!$C$4:$C$346,1,FALSE)</f>
        <v>Reporte de captación, supervisión y seguimiento</v>
      </c>
    </row>
    <row r="229" spans="1:25" ht="29.15" x14ac:dyDescent="0.4">
      <c r="A229" s="4">
        <f t="shared" si="3"/>
        <v>226</v>
      </c>
      <c r="B229" s="2" t="s">
        <v>1138</v>
      </c>
      <c r="C229" s="3" t="s">
        <v>1139</v>
      </c>
      <c r="D229" s="8"/>
      <c r="E229" s="2" t="s">
        <v>988</v>
      </c>
      <c r="F229" s="2" t="s">
        <v>989</v>
      </c>
      <c r="G229" s="2" t="s">
        <v>1122</v>
      </c>
      <c r="H229" s="3" t="s">
        <v>1123</v>
      </c>
      <c r="I229" s="2" t="s">
        <v>1124</v>
      </c>
      <c r="J229" s="3" t="s">
        <v>1125</v>
      </c>
      <c r="K229" s="2" t="s">
        <v>1135</v>
      </c>
      <c r="L229" s="3" t="s">
        <v>1136</v>
      </c>
      <c r="N229" s="4" t="s">
        <v>38</v>
      </c>
      <c r="O229" s="4" t="s">
        <v>38</v>
      </c>
      <c r="Q229" s="4" t="s">
        <v>38</v>
      </c>
      <c r="R229" s="2" t="s">
        <v>1140</v>
      </c>
      <c r="S229" s="2" t="s">
        <v>40</v>
      </c>
      <c r="T229" s="3" t="s">
        <v>95</v>
      </c>
      <c r="U229" s="2" t="s">
        <v>42</v>
      </c>
      <c r="V229" s="2" t="s">
        <v>43</v>
      </c>
      <c r="Y229" s="2" t="str">
        <f>VLOOKUP(C229,[1]Cat_Objetos!$C$4:$C$346,1,FALSE)</f>
        <v>Notificación de VCF de recepción en tiempo según lo previsto de sistemas para la captación</v>
      </c>
    </row>
    <row r="230" spans="1:25" ht="29.15" x14ac:dyDescent="0.4">
      <c r="A230" s="4">
        <f t="shared" si="3"/>
        <v>227</v>
      </c>
      <c r="B230" s="2" t="s">
        <v>1141</v>
      </c>
      <c r="C230" s="3" t="s">
        <v>1142</v>
      </c>
      <c r="D230" s="8"/>
      <c r="E230" s="2" t="s">
        <v>988</v>
      </c>
      <c r="F230" s="2" t="s">
        <v>989</v>
      </c>
      <c r="G230" s="2" t="s">
        <v>1122</v>
      </c>
      <c r="H230" s="3" t="s">
        <v>1123</v>
      </c>
      <c r="I230" s="2" t="s">
        <v>1124</v>
      </c>
      <c r="J230" s="3" t="s">
        <v>1125</v>
      </c>
      <c r="K230" s="2" t="s">
        <v>1143</v>
      </c>
      <c r="L230" s="3" t="s">
        <v>1144</v>
      </c>
      <c r="N230" s="4" t="s">
        <v>38</v>
      </c>
      <c r="O230" s="4" t="s">
        <v>38</v>
      </c>
      <c r="Q230" s="4" t="s">
        <v>38</v>
      </c>
      <c r="R230" s="2" t="s">
        <v>1025</v>
      </c>
      <c r="S230" s="2" t="s">
        <v>40</v>
      </c>
      <c r="T230" s="3" t="s">
        <v>95</v>
      </c>
      <c r="U230" s="2" t="s">
        <v>42</v>
      </c>
      <c r="V230" s="2" t="s">
        <v>43</v>
      </c>
      <c r="Y230" s="2" t="str">
        <f>VLOOKUP(C230,[1]Cat_Objetos!$C$4:$C$346,1,FALSE)</f>
        <v>Reporte de seguimiento, avance y cifras de control en OC</v>
      </c>
    </row>
    <row r="231" spans="1:25" ht="29.15" x14ac:dyDescent="0.4">
      <c r="A231" s="4">
        <f t="shared" si="3"/>
        <v>228</v>
      </c>
      <c r="B231" s="2" t="s">
        <v>1145</v>
      </c>
      <c r="C231" s="3" t="s">
        <v>1146</v>
      </c>
      <c r="D231" s="8"/>
      <c r="E231" s="2" t="s">
        <v>988</v>
      </c>
      <c r="F231" s="2" t="s">
        <v>989</v>
      </c>
      <c r="G231" s="2" t="s">
        <v>1122</v>
      </c>
      <c r="H231" s="3" t="s">
        <v>1123</v>
      </c>
      <c r="I231" s="2" t="s">
        <v>1124</v>
      </c>
      <c r="J231" s="3" t="s">
        <v>1125</v>
      </c>
      <c r="K231" s="2" t="s">
        <v>1147</v>
      </c>
      <c r="L231" s="3" t="s">
        <v>1148</v>
      </c>
      <c r="N231" s="4" t="s">
        <v>38</v>
      </c>
      <c r="O231" s="4" t="s">
        <v>38</v>
      </c>
      <c r="Q231" s="4" t="s">
        <v>38</v>
      </c>
      <c r="R231" s="2" t="s">
        <v>1149</v>
      </c>
      <c r="S231" s="2" t="s">
        <v>40</v>
      </c>
      <c r="T231" s="3" t="s">
        <v>95</v>
      </c>
      <c r="U231" s="2" t="s">
        <v>42</v>
      </c>
      <c r="V231" s="2" t="s">
        <v>43</v>
      </c>
      <c r="Y231" s="2" t="str">
        <f>VLOOKUP(C231,[1]Cat_Objetos!$C$4:$C$346,1,FALSE)</f>
        <v>Bitácora de captura</v>
      </c>
    </row>
    <row r="232" spans="1:25" ht="29.15" x14ac:dyDescent="0.4">
      <c r="A232" s="4">
        <f t="shared" si="3"/>
        <v>229</v>
      </c>
      <c r="B232" s="2" t="s">
        <v>1150</v>
      </c>
      <c r="C232" s="3" t="s">
        <v>1151</v>
      </c>
      <c r="D232" s="8"/>
      <c r="E232" s="2" t="s">
        <v>988</v>
      </c>
      <c r="F232" s="2" t="s">
        <v>989</v>
      </c>
      <c r="G232" s="2" t="s">
        <v>1122</v>
      </c>
      <c r="H232" s="3" t="s">
        <v>1123</v>
      </c>
      <c r="I232" s="2" t="s">
        <v>1124</v>
      </c>
      <c r="J232" s="3" t="s">
        <v>1125</v>
      </c>
      <c r="K232" s="2" t="s">
        <v>1152</v>
      </c>
      <c r="L232" s="3" t="s">
        <v>1153</v>
      </c>
      <c r="N232" s="4" t="s">
        <v>38</v>
      </c>
      <c r="O232" s="4" t="s">
        <v>38</v>
      </c>
      <c r="Q232" s="4" t="s">
        <v>38</v>
      </c>
      <c r="R232" s="2" t="s">
        <v>1025</v>
      </c>
      <c r="S232" s="2" t="s">
        <v>40</v>
      </c>
      <c r="T232" s="3" t="s">
        <v>95</v>
      </c>
      <c r="U232" s="2" t="s">
        <v>42</v>
      </c>
      <c r="V232" s="2" t="s">
        <v>43</v>
      </c>
      <c r="Y232" s="2" t="str">
        <f>VLOOKUP(C232,[1]Cat_Objetos!$C$4:$C$346,1,FALSE)</f>
        <v>Reporte de validación del operativo</v>
      </c>
    </row>
    <row r="233" spans="1:25" ht="29.15" x14ac:dyDescent="0.4">
      <c r="A233" s="4">
        <f t="shared" si="3"/>
        <v>230</v>
      </c>
      <c r="B233" s="2" t="s">
        <v>1154</v>
      </c>
      <c r="C233" s="3" t="s">
        <v>1155</v>
      </c>
      <c r="D233" s="8"/>
      <c r="E233" s="2" t="s">
        <v>988</v>
      </c>
      <c r="F233" s="2" t="s">
        <v>989</v>
      </c>
      <c r="G233" s="2" t="s">
        <v>1122</v>
      </c>
      <c r="H233" s="3" t="s">
        <v>1123</v>
      </c>
      <c r="I233" s="2" t="s">
        <v>1124</v>
      </c>
      <c r="J233" s="3" t="s">
        <v>1125</v>
      </c>
      <c r="K233" s="2" t="s">
        <v>1152</v>
      </c>
      <c r="L233" s="3" t="s">
        <v>1153</v>
      </c>
      <c r="N233" s="4" t="s">
        <v>38</v>
      </c>
      <c r="O233" s="4" t="s">
        <v>38</v>
      </c>
      <c r="Q233" s="4" t="s">
        <v>38</v>
      </c>
      <c r="R233" s="2" t="s">
        <v>1005</v>
      </c>
      <c r="S233" s="2" t="s">
        <v>40</v>
      </c>
      <c r="T233" s="3" t="s">
        <v>905</v>
      </c>
      <c r="U233" s="2" t="s">
        <v>42</v>
      </c>
      <c r="V233" s="2" t="s">
        <v>273</v>
      </c>
      <c r="Y233" s="2" t="str">
        <f>VLOOKUP(C233,[1]Cat_Objetos!$C$4:$C$346,1,FALSE)</f>
        <v>Datos de validación de campo en el sistema para la captación</v>
      </c>
    </row>
    <row r="234" spans="1:25" ht="29.15" x14ac:dyDescent="0.4">
      <c r="A234" s="4">
        <f t="shared" si="3"/>
        <v>231</v>
      </c>
      <c r="B234" s="2" t="s">
        <v>1156</v>
      </c>
      <c r="C234" s="3" t="s">
        <v>1157</v>
      </c>
      <c r="D234" s="8"/>
      <c r="E234" s="2" t="s">
        <v>988</v>
      </c>
      <c r="F234" s="2" t="s">
        <v>989</v>
      </c>
      <c r="G234" s="2" t="s">
        <v>1122</v>
      </c>
      <c r="H234" s="3" t="s">
        <v>1123</v>
      </c>
      <c r="I234" s="2" t="s">
        <v>1124</v>
      </c>
      <c r="J234" s="3" t="s">
        <v>1125</v>
      </c>
      <c r="K234" s="2" t="s">
        <v>1158</v>
      </c>
      <c r="L234" s="3" t="s">
        <v>1159</v>
      </c>
      <c r="N234" s="4" t="s">
        <v>38</v>
      </c>
      <c r="O234" s="4" t="s">
        <v>38</v>
      </c>
      <c r="Q234" s="4" t="s">
        <v>38</v>
      </c>
      <c r="R234" s="2" t="s">
        <v>1025</v>
      </c>
      <c r="S234" s="2" t="s">
        <v>40</v>
      </c>
      <c r="T234" s="3" t="s">
        <v>95</v>
      </c>
      <c r="U234" s="2" t="s">
        <v>42</v>
      </c>
      <c r="V234" s="2" t="s">
        <v>43</v>
      </c>
      <c r="Y234" s="2" t="str">
        <f>VLOOKUP(C234,[1]Cat_Objetos!$C$4:$C$346,1,FALSE)</f>
        <v>Reporte de verificación y ajustes</v>
      </c>
    </row>
    <row r="235" spans="1:25" ht="29.15" x14ac:dyDescent="0.4">
      <c r="A235" s="4">
        <f t="shared" si="3"/>
        <v>232</v>
      </c>
      <c r="B235" s="2" t="s">
        <v>1160</v>
      </c>
      <c r="C235" s="3" t="s">
        <v>1161</v>
      </c>
      <c r="D235" s="14"/>
      <c r="E235" s="2" t="s">
        <v>988</v>
      </c>
      <c r="F235" s="2" t="s">
        <v>989</v>
      </c>
      <c r="G235" s="2" t="s">
        <v>1122</v>
      </c>
      <c r="H235" s="3" t="s">
        <v>1123</v>
      </c>
      <c r="I235" s="2" t="s">
        <v>1124</v>
      </c>
      <c r="J235" s="3" t="s">
        <v>1125</v>
      </c>
      <c r="K235" s="2" t="s">
        <v>1162</v>
      </c>
      <c r="L235" s="3" t="s">
        <v>1163</v>
      </c>
      <c r="N235" s="4" t="s">
        <v>38</v>
      </c>
      <c r="O235" s="4" t="s">
        <v>38</v>
      </c>
      <c r="Q235" s="4" t="s">
        <v>38</v>
      </c>
      <c r="R235" s="2" t="s">
        <v>1005</v>
      </c>
      <c r="S235" s="2" t="s">
        <v>40</v>
      </c>
      <c r="T235" s="3" t="s">
        <v>905</v>
      </c>
      <c r="U235" s="2" t="s">
        <v>42</v>
      </c>
      <c r="V235" s="2" t="s">
        <v>273</v>
      </c>
      <c r="Y235" s="2" t="str">
        <f>VLOOKUP(C235,[1]Cat_Objetos!$C$4:$C$346,1,FALSE)</f>
        <v>Datos de cuestionarios liberados en AT</v>
      </c>
    </row>
    <row r="236" spans="1:25" ht="29.15" x14ac:dyDescent="0.4">
      <c r="A236" s="4">
        <f t="shared" si="3"/>
        <v>233</v>
      </c>
      <c r="B236" s="2" t="s">
        <v>1164</v>
      </c>
      <c r="C236" s="3" t="s">
        <v>1165</v>
      </c>
      <c r="D236" s="8"/>
      <c r="E236" s="2" t="s">
        <v>988</v>
      </c>
      <c r="F236" s="2" t="s">
        <v>989</v>
      </c>
      <c r="G236" s="2" t="s">
        <v>1122</v>
      </c>
      <c r="H236" s="3" t="s">
        <v>1123</v>
      </c>
      <c r="I236" s="2" t="s">
        <v>1124</v>
      </c>
      <c r="J236" s="3" t="s">
        <v>1125</v>
      </c>
      <c r="K236" s="2" t="s">
        <v>1166</v>
      </c>
      <c r="L236" s="3" t="s">
        <v>1167</v>
      </c>
      <c r="N236" s="4" t="s">
        <v>38</v>
      </c>
      <c r="O236" s="4" t="s">
        <v>38</v>
      </c>
      <c r="Q236" s="4" t="s">
        <v>38</v>
      </c>
      <c r="R236" s="2" t="s">
        <v>1005</v>
      </c>
      <c r="S236" s="2" t="s">
        <v>40</v>
      </c>
      <c r="T236" s="3" t="s">
        <v>905</v>
      </c>
      <c r="U236" s="2" t="s">
        <v>42</v>
      </c>
      <c r="V236" s="2" t="s">
        <v>273</v>
      </c>
      <c r="Y236" s="2" t="str">
        <f>VLOOKUP(C236,[1]Cat_Objetos!$C$4:$C$346,1,FALSE)</f>
        <v>Datos integrados en servidor de AT</v>
      </c>
    </row>
    <row r="237" spans="1:25" ht="29.15" x14ac:dyDescent="0.4">
      <c r="A237" s="4">
        <f t="shared" si="3"/>
        <v>234</v>
      </c>
      <c r="B237" s="2" t="s">
        <v>1168</v>
      </c>
      <c r="C237" s="3" t="s">
        <v>1169</v>
      </c>
      <c r="D237" s="8"/>
      <c r="E237" s="2" t="s">
        <v>988</v>
      </c>
      <c r="F237" s="2" t="s">
        <v>989</v>
      </c>
      <c r="G237" s="2" t="s">
        <v>1122</v>
      </c>
      <c r="H237" s="3" t="s">
        <v>1123</v>
      </c>
      <c r="I237" s="2" t="s">
        <v>1124</v>
      </c>
      <c r="J237" s="3" t="s">
        <v>1125</v>
      </c>
      <c r="K237" s="2" t="s">
        <v>1170</v>
      </c>
      <c r="L237" s="3" t="s">
        <v>1171</v>
      </c>
      <c r="N237" s="4" t="s">
        <v>38</v>
      </c>
      <c r="O237" s="4" t="s">
        <v>38</v>
      </c>
      <c r="Q237" s="4" t="s">
        <v>38</v>
      </c>
      <c r="R237" s="2" t="s">
        <v>1025</v>
      </c>
      <c r="S237" s="2" t="s">
        <v>40</v>
      </c>
      <c r="T237" s="3" t="s">
        <v>95</v>
      </c>
      <c r="U237" s="2" t="s">
        <v>42</v>
      </c>
      <c r="V237" s="2" t="s">
        <v>43</v>
      </c>
      <c r="Y237" s="2" t="str">
        <f>VLOOKUP(C237,[1]Cat_Objetos!$C$4:$C$346,1,FALSE)</f>
        <v>Notificación de recepción y verificación de los datos</v>
      </c>
    </row>
    <row r="238" spans="1:25" ht="29.15" x14ac:dyDescent="0.4">
      <c r="A238" s="4">
        <f t="shared" si="3"/>
        <v>235</v>
      </c>
      <c r="B238" s="2" t="s">
        <v>1172</v>
      </c>
      <c r="C238" s="3" t="s">
        <v>1173</v>
      </c>
      <c r="D238" s="8"/>
      <c r="E238" s="2" t="s">
        <v>988</v>
      </c>
      <c r="F238" s="2" t="s">
        <v>989</v>
      </c>
      <c r="G238" s="2" t="s">
        <v>1122</v>
      </c>
      <c r="H238" s="3" t="s">
        <v>1123</v>
      </c>
      <c r="I238" s="2" t="s">
        <v>1124</v>
      </c>
      <c r="J238" s="3" t="s">
        <v>1125</v>
      </c>
      <c r="K238" s="2" t="s">
        <v>1170</v>
      </c>
      <c r="L238" s="3" t="s">
        <v>1171</v>
      </c>
      <c r="N238" s="4" t="s">
        <v>38</v>
      </c>
      <c r="O238" s="4" t="s">
        <v>38</v>
      </c>
      <c r="Q238" s="4" t="s">
        <v>38</v>
      </c>
      <c r="R238" s="2" t="s">
        <v>1005</v>
      </c>
      <c r="S238" s="2" t="s">
        <v>40</v>
      </c>
      <c r="T238" s="3" t="s">
        <v>905</v>
      </c>
      <c r="U238" s="2" t="s">
        <v>42</v>
      </c>
      <c r="V238" s="2" t="s">
        <v>273</v>
      </c>
      <c r="Y238" s="2" t="str">
        <f>VLOOKUP(C238,[1]Cat_Objetos!$C$4:$C$346,1,FALSE)</f>
        <v>Datos de captación concentrados y verificados</v>
      </c>
    </row>
    <row r="239" spans="1:25" ht="29.15" x14ac:dyDescent="0.4">
      <c r="A239" s="4">
        <f t="shared" si="3"/>
        <v>236</v>
      </c>
      <c r="B239" s="2" t="s">
        <v>1174</v>
      </c>
      <c r="C239" s="3" t="s">
        <v>1175</v>
      </c>
      <c r="D239" s="8"/>
      <c r="E239" s="2" t="s">
        <v>988</v>
      </c>
      <c r="F239" s="2" t="s">
        <v>989</v>
      </c>
      <c r="G239" s="2" t="s">
        <v>1122</v>
      </c>
      <c r="H239" s="3" t="s">
        <v>1123</v>
      </c>
      <c r="I239" s="2" t="s">
        <v>1124</v>
      </c>
      <c r="J239" s="3" t="s">
        <v>1125</v>
      </c>
      <c r="K239" s="2" t="s">
        <v>1170</v>
      </c>
      <c r="L239" s="3" t="s">
        <v>1171</v>
      </c>
      <c r="N239" s="4" t="s">
        <v>38</v>
      </c>
      <c r="O239" s="4" t="s">
        <v>38</v>
      </c>
      <c r="Q239" s="4" t="s">
        <v>38</v>
      </c>
      <c r="R239" s="2" t="s">
        <v>1176</v>
      </c>
      <c r="S239" s="2" t="s">
        <v>40</v>
      </c>
      <c r="T239" s="3" t="s">
        <v>266</v>
      </c>
      <c r="U239" s="2" t="s">
        <v>42</v>
      </c>
      <c r="V239" s="2" t="s">
        <v>43</v>
      </c>
      <c r="Y239" s="2" t="str">
        <f>VLOOKUP(C239,[1]Cat_Objetos!$C$4:$C$346,1,FALSE)</f>
        <v>Metadatos del proceso de captación de datos</v>
      </c>
    </row>
    <row r="240" spans="1:25" ht="29.15" x14ac:dyDescent="0.4">
      <c r="A240" s="4">
        <f t="shared" si="3"/>
        <v>237</v>
      </c>
      <c r="B240" s="2" t="s">
        <v>1177</v>
      </c>
      <c r="C240" s="3" t="s">
        <v>1178</v>
      </c>
      <c r="E240" s="2" t="s">
        <v>988</v>
      </c>
      <c r="F240" s="2" t="s">
        <v>989</v>
      </c>
      <c r="G240" s="2" t="s">
        <v>1122</v>
      </c>
      <c r="H240" s="3" t="s">
        <v>1123</v>
      </c>
      <c r="I240" s="2" t="s">
        <v>1124</v>
      </c>
      <c r="J240" s="3" t="s">
        <v>1125</v>
      </c>
      <c r="K240" s="2" t="s">
        <v>1179</v>
      </c>
      <c r="L240" s="3" t="s">
        <v>1180</v>
      </c>
      <c r="N240" s="4" t="s">
        <v>38</v>
      </c>
      <c r="O240" s="4" t="s">
        <v>38</v>
      </c>
      <c r="Q240" s="4" t="s">
        <v>38</v>
      </c>
      <c r="R240" s="2" t="s">
        <v>1025</v>
      </c>
      <c r="S240" s="2" t="s">
        <v>40</v>
      </c>
      <c r="T240" s="3" t="s">
        <v>95</v>
      </c>
      <c r="U240" s="2" t="s">
        <v>42</v>
      </c>
      <c r="V240" s="2" t="s">
        <v>43</v>
      </c>
      <c r="Y240" s="2" t="str">
        <f>VLOOKUP(C240,[1]Cat_Objetos!$C$4:$C$346,1,FALSE)</f>
        <v>Reporte integrado de la captación</v>
      </c>
    </row>
    <row r="241" spans="1:25" ht="29.15" x14ac:dyDescent="0.4">
      <c r="A241" s="4">
        <f t="shared" si="3"/>
        <v>238</v>
      </c>
      <c r="B241" s="2" t="s">
        <v>1181</v>
      </c>
      <c r="C241" s="3" t="s">
        <v>1182</v>
      </c>
      <c r="E241" s="2" t="s">
        <v>988</v>
      </c>
      <c r="F241" s="2" t="s">
        <v>989</v>
      </c>
      <c r="G241" s="2" t="s">
        <v>1122</v>
      </c>
      <c r="H241" s="3" t="s">
        <v>1123</v>
      </c>
      <c r="I241" s="2" t="s">
        <v>1124</v>
      </c>
      <c r="J241" s="3" t="s">
        <v>1125</v>
      </c>
      <c r="K241" s="2" t="s">
        <v>1183</v>
      </c>
      <c r="L241" s="3" t="s">
        <v>1184</v>
      </c>
      <c r="N241" s="4" t="s">
        <v>38</v>
      </c>
      <c r="O241" s="4" t="s">
        <v>38</v>
      </c>
      <c r="Q241" s="4" t="s">
        <v>38</v>
      </c>
      <c r="R241" s="2" t="s">
        <v>1185</v>
      </c>
      <c r="S241" s="2" t="s">
        <v>40</v>
      </c>
      <c r="T241" s="3" t="s">
        <v>95</v>
      </c>
      <c r="U241" s="2" t="s">
        <v>42</v>
      </c>
      <c r="V241" s="2" t="s">
        <v>43</v>
      </c>
      <c r="Y241" s="2" t="str">
        <f>VLOOKUP(C241,[1]Cat_Objetos!$C$4:$C$346,1,FALSE)</f>
        <v>Informe de supervisión</v>
      </c>
    </row>
    <row r="242" spans="1:25" ht="29.15" x14ac:dyDescent="0.4">
      <c r="A242" s="4">
        <f t="shared" si="3"/>
        <v>239</v>
      </c>
      <c r="B242" s="2" t="s">
        <v>1186</v>
      </c>
      <c r="C242" s="3" t="s">
        <v>1187</v>
      </c>
      <c r="E242" s="2" t="s">
        <v>988</v>
      </c>
      <c r="F242" s="2" t="s">
        <v>989</v>
      </c>
      <c r="G242" s="2" t="s">
        <v>1122</v>
      </c>
      <c r="H242" s="3" t="s">
        <v>1123</v>
      </c>
      <c r="I242" s="2" t="s">
        <v>1124</v>
      </c>
      <c r="J242" s="3" t="s">
        <v>1125</v>
      </c>
      <c r="K242" s="2" t="s">
        <v>1183</v>
      </c>
      <c r="L242" s="3" t="s">
        <v>1184</v>
      </c>
      <c r="N242" s="4" t="s">
        <v>38</v>
      </c>
      <c r="O242" s="4" t="s">
        <v>38</v>
      </c>
      <c r="Q242" s="4" t="s">
        <v>38</v>
      </c>
      <c r="R242" s="2" t="s">
        <v>1188</v>
      </c>
      <c r="S242" s="2" t="s">
        <v>40</v>
      </c>
      <c r="T242" s="3" t="s">
        <v>95</v>
      </c>
      <c r="U242" s="2" t="s">
        <v>42</v>
      </c>
      <c r="V242" s="2" t="s">
        <v>43</v>
      </c>
      <c r="Y242" s="2" t="str">
        <f>VLOOKUP(C242,[1]Cat_Objetos!$C$4:$C$346,1,FALSE)</f>
        <v>Notificación de VCF a RF del reporte de bitácoras de supervisión y seguimiento</v>
      </c>
    </row>
    <row r="243" spans="1:25" x14ac:dyDescent="0.4">
      <c r="A243" s="4">
        <f t="shared" si="3"/>
        <v>240</v>
      </c>
      <c r="B243" s="2" t="s">
        <v>1189</v>
      </c>
      <c r="C243" s="3" t="s">
        <v>1190</v>
      </c>
      <c r="D243" s="2" t="s">
        <v>1191</v>
      </c>
      <c r="E243" s="2" t="s">
        <v>988</v>
      </c>
      <c r="F243" s="2" t="s">
        <v>989</v>
      </c>
      <c r="G243" s="2" t="s">
        <v>1192</v>
      </c>
      <c r="H243" s="3" t="s">
        <v>1193</v>
      </c>
      <c r="I243" s="2" t="s">
        <v>1194</v>
      </c>
      <c r="J243" s="3" t="s">
        <v>1193</v>
      </c>
      <c r="K243" s="2" t="s">
        <v>1195</v>
      </c>
      <c r="L243" s="3" t="s">
        <v>1196</v>
      </c>
      <c r="N243" s="4" t="s">
        <v>38</v>
      </c>
      <c r="O243" s="4" t="s">
        <v>38</v>
      </c>
      <c r="Q243" s="4" t="s">
        <v>38</v>
      </c>
      <c r="R243" s="2" t="s">
        <v>1197</v>
      </c>
      <c r="S243" s="2" t="s">
        <v>40</v>
      </c>
      <c r="T243" s="3" t="s">
        <v>905</v>
      </c>
      <c r="U243" s="2" t="s">
        <v>42</v>
      </c>
      <c r="V243" s="2" t="s">
        <v>273</v>
      </c>
      <c r="Y243" s="2" t="str">
        <f>VLOOKUP(C243,[1]Cat_Objetos!$C$4:$C$346,1,FALSE)</f>
        <v>Conjunto de datos captados</v>
      </c>
    </row>
    <row r="244" spans="1:25" x14ac:dyDescent="0.4">
      <c r="A244" s="4">
        <f t="shared" si="3"/>
        <v>241</v>
      </c>
      <c r="B244" s="2" t="s">
        <v>1198</v>
      </c>
      <c r="C244" s="3" t="s">
        <v>1199</v>
      </c>
      <c r="E244" s="2" t="s">
        <v>988</v>
      </c>
      <c r="F244" s="2" t="s">
        <v>989</v>
      </c>
      <c r="G244" s="2" t="s">
        <v>1192</v>
      </c>
      <c r="H244" s="3" t="s">
        <v>1193</v>
      </c>
      <c r="I244" s="2" t="s">
        <v>1194</v>
      </c>
      <c r="J244" s="3" t="s">
        <v>1193</v>
      </c>
      <c r="K244" s="2" t="s">
        <v>1200</v>
      </c>
      <c r="L244" s="3" t="s">
        <v>1201</v>
      </c>
      <c r="N244" s="4" t="s">
        <v>38</v>
      </c>
      <c r="O244" s="4" t="s">
        <v>38</v>
      </c>
      <c r="Q244" s="4" t="s">
        <v>38</v>
      </c>
      <c r="R244" s="2" t="s">
        <v>1025</v>
      </c>
      <c r="S244" s="2" t="s">
        <v>40</v>
      </c>
      <c r="T244" s="3" t="s">
        <v>95</v>
      </c>
      <c r="U244" s="2" t="s">
        <v>42</v>
      </c>
      <c r="V244" s="2" t="s">
        <v>43</v>
      </c>
      <c r="Y244" s="2" t="str">
        <f>VLOOKUP(C244,[1]Cat_Objetos!$C$4:$C$346,1,FALSE)</f>
        <v>Documento operativo</v>
      </c>
    </row>
    <row r="245" spans="1:25" x14ac:dyDescent="0.4">
      <c r="A245" s="4">
        <f t="shared" si="3"/>
        <v>242</v>
      </c>
      <c r="B245" s="2" t="s">
        <v>1202</v>
      </c>
      <c r="C245" s="3" t="s">
        <v>1203</v>
      </c>
      <c r="D245" s="8"/>
      <c r="E245" s="2" t="s">
        <v>1204</v>
      </c>
      <c r="F245" s="2" t="s">
        <v>1205</v>
      </c>
      <c r="G245" s="2" t="s">
        <v>1206</v>
      </c>
      <c r="H245" s="3" t="s">
        <v>1207</v>
      </c>
      <c r="I245" s="2" t="s">
        <v>1208</v>
      </c>
      <c r="J245" s="3" t="s">
        <v>1209</v>
      </c>
      <c r="K245" s="2" t="s">
        <v>1210</v>
      </c>
      <c r="L245" s="3" t="s">
        <v>1211</v>
      </c>
      <c r="N245" s="4" t="s">
        <v>38</v>
      </c>
      <c r="O245" s="4" t="s">
        <v>38</v>
      </c>
      <c r="Q245" s="4" t="s">
        <v>38</v>
      </c>
      <c r="R245" s="2" t="s">
        <v>1212</v>
      </c>
      <c r="S245" s="2" t="s">
        <v>40</v>
      </c>
      <c r="T245" s="3" t="s">
        <v>905</v>
      </c>
      <c r="U245" s="2" t="s">
        <v>42</v>
      </c>
      <c r="V245" s="2" t="s">
        <v>273</v>
      </c>
      <c r="Y245" s="2" t="str">
        <f>VLOOKUP(C245,[1]Cat_Objetos!$C$4:$C$346,1,FALSE)</f>
        <v>Datos complementarios seleccionados</v>
      </c>
    </row>
    <row r="246" spans="1:25" x14ac:dyDescent="0.4">
      <c r="A246" s="4">
        <f t="shared" si="3"/>
        <v>243</v>
      </c>
      <c r="B246" s="2" t="s">
        <v>1213</v>
      </c>
      <c r="C246" s="3" t="s">
        <v>1214</v>
      </c>
      <c r="D246" s="15"/>
      <c r="E246" s="2" t="s">
        <v>1204</v>
      </c>
      <c r="F246" s="2" t="s">
        <v>1205</v>
      </c>
      <c r="G246" s="2" t="s">
        <v>1206</v>
      </c>
      <c r="H246" s="3" t="s">
        <v>1207</v>
      </c>
      <c r="I246" s="2" t="s">
        <v>1208</v>
      </c>
      <c r="J246" s="3" t="s">
        <v>1209</v>
      </c>
      <c r="K246" s="2" t="s">
        <v>1215</v>
      </c>
      <c r="L246" s="3" t="s">
        <v>1216</v>
      </c>
      <c r="N246" s="4" t="s">
        <v>38</v>
      </c>
      <c r="O246" s="4" t="s">
        <v>38</v>
      </c>
      <c r="Q246" s="4" t="s">
        <v>38</v>
      </c>
      <c r="R246" s="2" t="s">
        <v>1212</v>
      </c>
      <c r="S246" s="2" t="s">
        <v>40</v>
      </c>
      <c r="T246" s="3" t="s">
        <v>266</v>
      </c>
      <c r="U246" s="2" t="s">
        <v>42</v>
      </c>
      <c r="V246" s="2" t="s">
        <v>43</v>
      </c>
      <c r="Y246" s="2" t="str">
        <f>VLOOKUP(C246,[1]Cat_Objetos!$C$4:$C$346,1,FALSE)</f>
        <v>Metadatos del proceso de integración del conjunto de datos</v>
      </c>
    </row>
    <row r="247" spans="1:25" x14ac:dyDescent="0.4">
      <c r="A247" s="4">
        <f t="shared" si="3"/>
        <v>244</v>
      </c>
      <c r="B247" s="2" t="s">
        <v>1217</v>
      </c>
      <c r="C247" s="3" t="s">
        <v>1218</v>
      </c>
      <c r="D247" s="8"/>
      <c r="E247" s="2" t="s">
        <v>1204</v>
      </c>
      <c r="F247" s="2" t="s">
        <v>1205</v>
      </c>
      <c r="G247" s="2" t="s">
        <v>1219</v>
      </c>
      <c r="H247" s="3" t="s">
        <v>1220</v>
      </c>
      <c r="I247" s="2" t="s">
        <v>1221</v>
      </c>
      <c r="J247" s="3" t="s">
        <v>1222</v>
      </c>
      <c r="K247" s="2" t="s">
        <v>1223</v>
      </c>
      <c r="L247" s="3" t="s">
        <v>1224</v>
      </c>
      <c r="N247" s="4" t="s">
        <v>38</v>
      </c>
      <c r="O247" s="4" t="s">
        <v>38</v>
      </c>
      <c r="Q247" s="4" t="s">
        <v>38</v>
      </c>
      <c r="R247" s="2" t="s">
        <v>1225</v>
      </c>
      <c r="S247" s="2" t="s">
        <v>40</v>
      </c>
      <c r="T247" s="3" t="s">
        <v>406</v>
      </c>
      <c r="U247" s="2" t="s">
        <v>42</v>
      </c>
      <c r="V247" s="2" t="s">
        <v>43</v>
      </c>
      <c r="Y247" s="2" t="str">
        <f>VLOOKUP(C247,[1]Cat_Objetos!$C$4:$C$346,1,FALSE)</f>
        <v>Variables o registros por clasificar, codificar y geoprocesar</v>
      </c>
    </row>
    <row r="248" spans="1:25" ht="29.15" x14ac:dyDescent="0.4">
      <c r="A248" s="4">
        <f t="shared" si="3"/>
        <v>245</v>
      </c>
      <c r="B248" s="2" t="s">
        <v>1226</v>
      </c>
      <c r="C248" s="3" t="s">
        <v>1227</v>
      </c>
      <c r="E248" s="2" t="s">
        <v>1204</v>
      </c>
      <c r="F248" s="2" t="s">
        <v>1205</v>
      </c>
      <c r="G248" s="2" t="s">
        <v>1219</v>
      </c>
      <c r="H248" s="3" t="s">
        <v>1220</v>
      </c>
      <c r="I248" s="2" t="s">
        <v>1221</v>
      </c>
      <c r="J248" s="3" t="s">
        <v>1222</v>
      </c>
      <c r="K248" s="2" t="s">
        <v>1228</v>
      </c>
      <c r="L248" s="3" t="s">
        <v>1229</v>
      </c>
      <c r="N248" s="4" t="s">
        <v>38</v>
      </c>
      <c r="O248" s="4" t="s">
        <v>38</v>
      </c>
      <c r="Q248" s="4" t="s">
        <v>38</v>
      </c>
      <c r="R248" s="2" t="s">
        <v>1225</v>
      </c>
      <c r="S248" s="2" t="s">
        <v>40</v>
      </c>
      <c r="T248" s="3" t="s">
        <v>266</v>
      </c>
      <c r="U248" s="2" t="s">
        <v>42</v>
      </c>
      <c r="V248" s="2" t="s">
        <v>43</v>
      </c>
      <c r="Y248" s="2" t="str">
        <f>VLOOKUP(C248,[1]Cat_Objetos!$C$4:$C$346,1,FALSE)</f>
        <v>Metadatos del proceso de clasificación, codificación y geoprocesamiento de los datos</v>
      </c>
    </row>
    <row r="249" spans="1:25" ht="29.15" x14ac:dyDescent="0.4">
      <c r="A249" s="4">
        <f t="shared" si="3"/>
        <v>246</v>
      </c>
      <c r="B249" s="2" t="s">
        <v>1230</v>
      </c>
      <c r="C249" s="3" t="s">
        <v>1231</v>
      </c>
      <c r="E249" s="2" t="s">
        <v>1204</v>
      </c>
      <c r="F249" s="2" t="s">
        <v>1205</v>
      </c>
      <c r="G249" s="2" t="s">
        <v>1219</v>
      </c>
      <c r="H249" s="3" t="s">
        <v>1220</v>
      </c>
      <c r="I249" s="2" t="s">
        <v>1221</v>
      </c>
      <c r="J249" s="3" t="s">
        <v>1222</v>
      </c>
      <c r="K249" s="2" t="s">
        <v>1228</v>
      </c>
      <c r="L249" s="3" t="s">
        <v>1229</v>
      </c>
      <c r="N249" s="4" t="s">
        <v>38</v>
      </c>
      <c r="O249" s="4" t="s">
        <v>38</v>
      </c>
      <c r="Q249" s="4" t="s">
        <v>38</v>
      </c>
      <c r="R249" s="2" t="s">
        <v>1225</v>
      </c>
      <c r="S249" s="2" t="s">
        <v>40</v>
      </c>
      <c r="T249" s="3" t="s">
        <v>905</v>
      </c>
      <c r="U249" s="2" t="s">
        <v>42</v>
      </c>
      <c r="V249" s="2" t="s">
        <v>273</v>
      </c>
      <c r="Y249" s="2" t="str">
        <f>VLOOKUP(C249,[1]Cat_Objetos!$C$4:$C$346,1,FALSE)</f>
        <v>Conjunto de datos con variables clasificadas, codificadas y geoprocesadas</v>
      </c>
    </row>
    <row r="250" spans="1:25" x14ac:dyDescent="0.4">
      <c r="A250" s="4">
        <f t="shared" si="3"/>
        <v>247</v>
      </c>
      <c r="B250" s="2" t="s">
        <v>1232</v>
      </c>
      <c r="C250" s="3" t="s">
        <v>1233</v>
      </c>
      <c r="D250" s="8"/>
      <c r="E250" s="2" t="s">
        <v>1204</v>
      </c>
      <c r="F250" s="2" t="s">
        <v>1205</v>
      </c>
      <c r="G250" s="2" t="s">
        <v>1234</v>
      </c>
      <c r="H250" s="3" t="s">
        <v>1235</v>
      </c>
      <c r="I250" s="2" t="s">
        <v>1236</v>
      </c>
      <c r="J250" s="3" t="s">
        <v>1237</v>
      </c>
      <c r="K250" s="2" t="s">
        <v>1238</v>
      </c>
      <c r="L250" s="3" t="s">
        <v>1239</v>
      </c>
      <c r="N250" s="4" t="s">
        <v>38</v>
      </c>
      <c r="O250" s="4" t="s">
        <v>38</v>
      </c>
      <c r="Q250" s="4" t="s">
        <v>38</v>
      </c>
      <c r="R250" s="2" t="s">
        <v>1240</v>
      </c>
      <c r="S250" s="2" t="s">
        <v>40</v>
      </c>
      <c r="T250" s="3" t="s">
        <v>1241</v>
      </c>
      <c r="U250" s="2" t="s">
        <v>42</v>
      </c>
      <c r="V250" s="2" t="s">
        <v>273</v>
      </c>
      <c r="Y250" s="2" t="str">
        <f>VLOOKUP(C250,[1]Cat_Objetos!$C$4:$C$346,1,FALSE)</f>
        <v>Registros detectados con inconsistencias en los datos</v>
      </c>
    </row>
    <row r="251" spans="1:25" x14ac:dyDescent="0.4">
      <c r="A251" s="4">
        <f t="shared" si="3"/>
        <v>248</v>
      </c>
      <c r="B251" s="2" t="s">
        <v>1242</v>
      </c>
      <c r="C251" s="3" t="s">
        <v>1243</v>
      </c>
      <c r="E251" s="2" t="s">
        <v>1204</v>
      </c>
      <c r="F251" s="2" t="s">
        <v>1205</v>
      </c>
      <c r="G251" s="2" t="s">
        <v>1234</v>
      </c>
      <c r="H251" s="3" t="s">
        <v>1235</v>
      </c>
      <c r="I251" s="2" t="s">
        <v>1236</v>
      </c>
      <c r="J251" s="3" t="s">
        <v>1237</v>
      </c>
      <c r="K251" s="2" t="s">
        <v>1244</v>
      </c>
      <c r="L251" s="3" t="s">
        <v>1245</v>
      </c>
      <c r="N251" s="4" t="s">
        <v>38</v>
      </c>
      <c r="O251" s="4" t="s">
        <v>38</v>
      </c>
      <c r="Q251" s="4" t="s">
        <v>38</v>
      </c>
      <c r="R251" s="2" t="s">
        <v>1240</v>
      </c>
      <c r="S251" s="2" t="s">
        <v>40</v>
      </c>
      <c r="T251" s="3" t="s">
        <v>266</v>
      </c>
      <c r="U251" s="2" t="s">
        <v>42</v>
      </c>
      <c r="V251" s="2" t="s">
        <v>43</v>
      </c>
      <c r="Y251" s="2" t="str">
        <f>VLOOKUP(C251,[1]Cat_Objetos!$C$4:$C$346,1,FALSE)</f>
        <v>Metadatos del proceso de validación de datos (bitácora de validación)</v>
      </c>
    </row>
    <row r="252" spans="1:25" x14ac:dyDescent="0.4">
      <c r="A252" s="4">
        <f t="shared" si="3"/>
        <v>249</v>
      </c>
      <c r="B252" s="2" t="s">
        <v>1246</v>
      </c>
      <c r="C252" s="3" t="s">
        <v>1247</v>
      </c>
      <c r="E252" s="2" t="s">
        <v>1204</v>
      </c>
      <c r="F252" s="2" t="s">
        <v>1205</v>
      </c>
      <c r="G252" s="2" t="s">
        <v>1234</v>
      </c>
      <c r="H252" s="3" t="s">
        <v>1235</v>
      </c>
      <c r="I252" s="2" t="s">
        <v>1236</v>
      </c>
      <c r="J252" s="3" t="s">
        <v>1237</v>
      </c>
      <c r="K252" s="2" t="s">
        <v>1244</v>
      </c>
      <c r="L252" s="3" t="s">
        <v>1245</v>
      </c>
      <c r="N252" s="4" t="s">
        <v>38</v>
      </c>
      <c r="O252" s="4" t="s">
        <v>38</v>
      </c>
      <c r="Q252" s="4" t="s">
        <v>38</v>
      </c>
      <c r="R252" s="2" t="s">
        <v>1240</v>
      </c>
      <c r="S252" s="2" t="s">
        <v>40</v>
      </c>
      <c r="T252" s="3" t="s">
        <v>905</v>
      </c>
      <c r="U252" s="2" t="s">
        <v>42</v>
      </c>
      <c r="V252" s="2" t="s">
        <v>273</v>
      </c>
      <c r="Y252" s="2" t="str">
        <f>VLOOKUP(C252,[1]Cat_Objetos!$C$4:$C$346,1,FALSE)</f>
        <v>Conjunto de datos validado</v>
      </c>
    </row>
    <row r="253" spans="1:25" x14ac:dyDescent="0.4">
      <c r="A253" s="4">
        <f t="shared" si="3"/>
        <v>250</v>
      </c>
      <c r="B253" s="2" t="s">
        <v>1248</v>
      </c>
      <c r="C253" s="3" t="s">
        <v>1249</v>
      </c>
      <c r="E253" s="2" t="s">
        <v>1204</v>
      </c>
      <c r="F253" s="2" t="s">
        <v>1205</v>
      </c>
      <c r="G253" s="2" t="s">
        <v>1250</v>
      </c>
      <c r="H253" s="3" t="s">
        <v>1251</v>
      </c>
      <c r="I253" s="2" t="s">
        <v>1252</v>
      </c>
      <c r="J253" s="3" t="s">
        <v>1253</v>
      </c>
      <c r="K253" s="2" t="s">
        <v>1254</v>
      </c>
      <c r="L253" s="3" t="s">
        <v>1255</v>
      </c>
      <c r="N253" s="4" t="s">
        <v>38</v>
      </c>
      <c r="O253" s="4" t="s">
        <v>38</v>
      </c>
      <c r="Q253" s="4" t="s">
        <v>38</v>
      </c>
      <c r="R253" s="2" t="s">
        <v>1256</v>
      </c>
      <c r="S253" s="2" t="s">
        <v>40</v>
      </c>
      <c r="T253" s="3" t="s">
        <v>406</v>
      </c>
      <c r="U253" s="2" t="s">
        <v>42</v>
      </c>
      <c r="V253" s="2" t="s">
        <v>43</v>
      </c>
      <c r="Y253" s="2" t="str">
        <f>VLOOKUP(C253,[1]Cat_Objetos!$C$4:$C$346,1,FALSE)</f>
        <v>Registro de determinación de uso para edición e imputación</v>
      </c>
    </row>
    <row r="254" spans="1:25" ht="29.15" x14ac:dyDescent="0.4">
      <c r="A254" s="4">
        <f t="shared" si="3"/>
        <v>251</v>
      </c>
      <c r="B254" s="2" t="s">
        <v>1257</v>
      </c>
      <c r="C254" s="3" t="s">
        <v>1258</v>
      </c>
      <c r="D254" s="8"/>
      <c r="E254" s="2" t="s">
        <v>1204</v>
      </c>
      <c r="F254" s="2" t="s">
        <v>1205</v>
      </c>
      <c r="G254" s="2" t="s">
        <v>1250</v>
      </c>
      <c r="H254" s="3" t="s">
        <v>1251</v>
      </c>
      <c r="I254" s="2" t="s">
        <v>1252</v>
      </c>
      <c r="J254" s="3" t="s">
        <v>1253</v>
      </c>
      <c r="K254" s="2" t="s">
        <v>1259</v>
      </c>
      <c r="L254" s="3" t="s">
        <v>1260</v>
      </c>
      <c r="N254" s="4" t="s">
        <v>38</v>
      </c>
      <c r="O254" s="4" t="s">
        <v>38</v>
      </c>
      <c r="Q254" s="4" t="s">
        <v>38</v>
      </c>
      <c r="R254" s="2" t="s">
        <v>1261</v>
      </c>
      <c r="S254" s="2" t="s">
        <v>40</v>
      </c>
      <c r="T254" s="3" t="s">
        <v>1262</v>
      </c>
      <c r="U254" s="2" t="s">
        <v>42</v>
      </c>
      <c r="V254" s="2" t="s">
        <v>43</v>
      </c>
      <c r="Y254" s="2" t="str">
        <f>VLOOKUP(C254,[1]Cat_Objetos!$C$4:$C$346,1,FALSE)</f>
        <v>Selección de la metodología para la edición e imputación</v>
      </c>
    </row>
    <row r="255" spans="1:25" x14ac:dyDescent="0.4">
      <c r="A255" s="4">
        <f t="shared" si="3"/>
        <v>252</v>
      </c>
      <c r="B255" s="2" t="s">
        <v>1263</v>
      </c>
      <c r="C255" s="3" t="s">
        <v>1264</v>
      </c>
      <c r="E255" s="2" t="s">
        <v>1204</v>
      </c>
      <c r="F255" s="2" t="s">
        <v>1205</v>
      </c>
      <c r="G255" s="2" t="s">
        <v>1250</v>
      </c>
      <c r="H255" s="3" t="s">
        <v>1251</v>
      </c>
      <c r="I255" s="2" t="s">
        <v>1252</v>
      </c>
      <c r="J255" s="3" t="s">
        <v>1253</v>
      </c>
      <c r="K255" s="2" t="s">
        <v>1265</v>
      </c>
      <c r="L255" s="3" t="s">
        <v>1266</v>
      </c>
      <c r="N255" s="4" t="s">
        <v>38</v>
      </c>
      <c r="O255" s="4" t="s">
        <v>38</v>
      </c>
      <c r="Q255" s="4" t="s">
        <v>38</v>
      </c>
      <c r="R255" s="2" t="s">
        <v>1256</v>
      </c>
      <c r="S255" s="2" t="s">
        <v>40</v>
      </c>
      <c r="T255" s="3" t="s">
        <v>905</v>
      </c>
      <c r="U255" s="2" t="s">
        <v>42</v>
      </c>
      <c r="V255" s="2" t="s">
        <v>273</v>
      </c>
      <c r="Y255" s="2" t="str">
        <f>VLOOKUP(C255,[1]Cat_Objetos!$C$4:$C$346,1,FALSE)</f>
        <v>Conjunto de datos con edición e imputación</v>
      </c>
    </row>
    <row r="256" spans="1:25" x14ac:dyDescent="0.4">
      <c r="A256" s="4">
        <f t="shared" si="3"/>
        <v>253</v>
      </c>
      <c r="B256" s="2" t="s">
        <v>1267</v>
      </c>
      <c r="C256" s="3" t="s">
        <v>1268</v>
      </c>
      <c r="E256" s="2" t="s">
        <v>1204</v>
      </c>
      <c r="F256" s="2" t="s">
        <v>1205</v>
      </c>
      <c r="G256" s="2" t="s">
        <v>1250</v>
      </c>
      <c r="H256" s="3" t="s">
        <v>1251</v>
      </c>
      <c r="I256" s="2" t="s">
        <v>1252</v>
      </c>
      <c r="J256" s="3" t="s">
        <v>1253</v>
      </c>
      <c r="K256" s="2" t="s">
        <v>1269</v>
      </c>
      <c r="L256" s="3" t="s">
        <v>1270</v>
      </c>
      <c r="N256" s="4" t="s">
        <v>38</v>
      </c>
      <c r="O256" s="4" t="s">
        <v>38</v>
      </c>
      <c r="Q256" s="4" t="s">
        <v>38</v>
      </c>
      <c r="R256" s="2" t="s">
        <v>1256</v>
      </c>
      <c r="S256" s="2" t="s">
        <v>40</v>
      </c>
      <c r="T256" s="3" t="s">
        <v>266</v>
      </c>
      <c r="U256" s="2" t="s">
        <v>42</v>
      </c>
      <c r="V256" s="2" t="s">
        <v>43</v>
      </c>
      <c r="Y256" s="2" t="str">
        <f>VLOOKUP(C256,[1]Cat_Objetos!$C$4:$C$346,1,FALSE)</f>
        <v>Metadatos del proceso de edición e imputación de datos</v>
      </c>
    </row>
    <row r="257" spans="1:25" x14ac:dyDescent="0.4">
      <c r="A257" s="4">
        <f t="shared" si="3"/>
        <v>254</v>
      </c>
      <c r="B257" s="2" t="s">
        <v>1271</v>
      </c>
      <c r="C257" s="3" t="s">
        <v>1272</v>
      </c>
      <c r="D257" s="8"/>
      <c r="E257" s="2" t="s">
        <v>1204</v>
      </c>
      <c r="F257" s="2" t="s">
        <v>1205</v>
      </c>
      <c r="G257" s="2" t="s">
        <v>1273</v>
      </c>
      <c r="H257" s="3" t="s">
        <v>1274</v>
      </c>
      <c r="I257" s="2" t="s">
        <v>1275</v>
      </c>
      <c r="J257" s="3" t="s">
        <v>1276</v>
      </c>
      <c r="K257" s="2" t="s">
        <v>1277</v>
      </c>
      <c r="L257" s="3" t="s">
        <v>1278</v>
      </c>
      <c r="N257" s="4" t="s">
        <v>38</v>
      </c>
      <c r="O257" s="4" t="s">
        <v>38</v>
      </c>
      <c r="Q257" s="4" t="s">
        <v>38</v>
      </c>
      <c r="R257" s="2" t="s">
        <v>1279</v>
      </c>
      <c r="S257" s="2" t="s">
        <v>40</v>
      </c>
      <c r="T257" s="3" t="s">
        <v>1280</v>
      </c>
      <c r="U257" s="2" t="s">
        <v>42</v>
      </c>
      <c r="V257" s="2" t="s">
        <v>43</v>
      </c>
      <c r="Y257" s="2" t="str">
        <f>VLOOKUP(C257,[1]Cat_Objetos!$C$4:$C$346,1,FALSE)</f>
        <v>Selección del método de derivación</v>
      </c>
    </row>
    <row r="258" spans="1:25" x14ac:dyDescent="0.4">
      <c r="A258" s="4">
        <f t="shared" si="3"/>
        <v>255</v>
      </c>
      <c r="B258" s="2" t="s">
        <v>1281</v>
      </c>
      <c r="C258" s="3" t="s">
        <v>1282</v>
      </c>
      <c r="E258" s="2" t="s">
        <v>1204</v>
      </c>
      <c r="F258" s="2" t="s">
        <v>1205</v>
      </c>
      <c r="G258" s="2" t="s">
        <v>1273</v>
      </c>
      <c r="H258" s="3" t="s">
        <v>1274</v>
      </c>
      <c r="I258" s="2" t="s">
        <v>1275</v>
      </c>
      <c r="J258" s="3" t="s">
        <v>1276</v>
      </c>
      <c r="K258" s="2" t="s">
        <v>1283</v>
      </c>
      <c r="L258" s="3" t="s">
        <v>1284</v>
      </c>
      <c r="N258" s="4" t="s">
        <v>38</v>
      </c>
      <c r="O258" s="4" t="s">
        <v>38</v>
      </c>
      <c r="Q258" s="4" t="s">
        <v>38</v>
      </c>
      <c r="R258" s="2" t="s">
        <v>1279</v>
      </c>
      <c r="S258" s="2" t="s">
        <v>40</v>
      </c>
      <c r="T258" s="3" t="s">
        <v>905</v>
      </c>
      <c r="U258" s="2" t="s">
        <v>42</v>
      </c>
      <c r="V258" s="2" t="s">
        <v>273</v>
      </c>
      <c r="Y258" s="2" t="str">
        <f>VLOOKUP(C258,[1]Cat_Objetos!$C$4:$C$346,1,FALSE)</f>
        <v>Conjunto de datos con variables derivadas y datos auxiliares</v>
      </c>
    </row>
    <row r="259" spans="1:25" x14ac:dyDescent="0.4">
      <c r="A259" s="4">
        <f t="shared" si="3"/>
        <v>256</v>
      </c>
      <c r="B259" s="2" t="s">
        <v>1285</v>
      </c>
      <c r="C259" s="3" t="s">
        <v>1286</v>
      </c>
      <c r="E259" s="2" t="s">
        <v>1204</v>
      </c>
      <c r="F259" s="2" t="s">
        <v>1205</v>
      </c>
      <c r="G259" s="2" t="s">
        <v>1273</v>
      </c>
      <c r="H259" s="3" t="s">
        <v>1274</v>
      </c>
      <c r="I259" s="2" t="s">
        <v>1275</v>
      </c>
      <c r="J259" s="3" t="s">
        <v>1276</v>
      </c>
      <c r="K259" s="2" t="s">
        <v>1287</v>
      </c>
      <c r="L259" s="3" t="s">
        <v>1288</v>
      </c>
      <c r="N259" s="4" t="s">
        <v>38</v>
      </c>
      <c r="O259" s="4" t="s">
        <v>38</v>
      </c>
      <c r="Q259" s="4" t="s">
        <v>38</v>
      </c>
      <c r="R259" s="2" t="s">
        <v>1279</v>
      </c>
      <c r="S259" s="2" t="s">
        <v>40</v>
      </c>
      <c r="T259" s="3" t="s">
        <v>266</v>
      </c>
      <c r="U259" s="2" t="s">
        <v>42</v>
      </c>
      <c r="V259" s="2" t="s">
        <v>43</v>
      </c>
      <c r="Y259" s="2" t="str">
        <f>VLOOKUP(C259,[1]Cat_Objetos!$C$4:$C$346,1,FALSE)</f>
        <v>Metadatos del proceso de variables derivadas y datos auxiliares</v>
      </c>
    </row>
    <row r="260" spans="1:25" x14ac:dyDescent="0.4">
      <c r="A260" s="4">
        <f t="shared" si="3"/>
        <v>257</v>
      </c>
      <c r="B260" s="2" t="s">
        <v>1289</v>
      </c>
      <c r="C260" s="3" t="s">
        <v>1290</v>
      </c>
      <c r="E260" s="2" t="s">
        <v>1204</v>
      </c>
      <c r="F260" s="2" t="s">
        <v>1205</v>
      </c>
      <c r="G260" s="2" t="s">
        <v>1291</v>
      </c>
      <c r="H260" s="3" t="s">
        <v>1292</v>
      </c>
      <c r="I260" s="2" t="s">
        <v>1293</v>
      </c>
      <c r="J260" s="3" t="s">
        <v>1294</v>
      </c>
      <c r="K260" s="2" t="s">
        <v>1295</v>
      </c>
      <c r="L260" s="3" t="s">
        <v>1296</v>
      </c>
      <c r="N260" s="4" t="s">
        <v>38</v>
      </c>
      <c r="O260" s="4" t="s">
        <v>38</v>
      </c>
      <c r="Q260" s="4" t="s">
        <v>311</v>
      </c>
      <c r="R260" s="2" t="s">
        <v>1297</v>
      </c>
      <c r="S260" s="2" t="s">
        <v>40</v>
      </c>
      <c r="T260" s="3" t="s">
        <v>905</v>
      </c>
      <c r="U260" s="2" t="s">
        <v>42</v>
      </c>
      <c r="V260" s="2" t="s">
        <v>273</v>
      </c>
      <c r="Y260" s="2" t="str">
        <f>VLOOKUP(C260,[1]Cat_Objetos!$C$4:$C$346,1,FALSE)</f>
        <v>Conjunto de datos con ponderadores</v>
      </c>
    </row>
    <row r="261" spans="1:25" x14ac:dyDescent="0.4">
      <c r="A261" s="4">
        <f t="shared" si="3"/>
        <v>258</v>
      </c>
      <c r="B261" s="2" t="s">
        <v>1298</v>
      </c>
      <c r="C261" s="3" t="s">
        <v>1299</v>
      </c>
      <c r="E261" s="2" t="s">
        <v>1204</v>
      </c>
      <c r="F261" s="2" t="s">
        <v>1205</v>
      </c>
      <c r="G261" s="2" t="s">
        <v>1291</v>
      </c>
      <c r="H261" s="3" t="s">
        <v>1292</v>
      </c>
      <c r="I261" s="2" t="s">
        <v>1293</v>
      </c>
      <c r="J261" s="3" t="s">
        <v>1294</v>
      </c>
      <c r="K261" s="2" t="s">
        <v>1300</v>
      </c>
      <c r="L261" s="3" t="s">
        <v>1301</v>
      </c>
      <c r="N261" s="4" t="s">
        <v>38</v>
      </c>
      <c r="O261" s="4" t="s">
        <v>38</v>
      </c>
      <c r="Q261" s="4" t="s">
        <v>311</v>
      </c>
      <c r="R261" s="2" t="s">
        <v>1302</v>
      </c>
      <c r="S261" s="2" t="s">
        <v>40</v>
      </c>
      <c r="T261" s="3" t="s">
        <v>266</v>
      </c>
      <c r="U261" s="2" t="s">
        <v>42</v>
      </c>
      <c r="V261" s="2" t="s">
        <v>43</v>
      </c>
      <c r="Y261" s="2" t="str">
        <f>VLOOKUP(C261,[1]Cat_Objetos!$C$4:$C$346,1,FALSE)</f>
        <v>Metadatos del proceso de cálculo y calibración de ponderadores</v>
      </c>
    </row>
    <row r="262" spans="1:25" ht="29.15" x14ac:dyDescent="0.4">
      <c r="A262" s="4">
        <f t="shared" ref="A262:A301" si="4">A261+1</f>
        <v>259</v>
      </c>
      <c r="B262" s="2" t="s">
        <v>1303</v>
      </c>
      <c r="C262" s="3" t="s">
        <v>1304</v>
      </c>
      <c r="E262" s="2" t="s">
        <v>1204</v>
      </c>
      <c r="F262" s="2" t="s">
        <v>1205</v>
      </c>
      <c r="G262" s="2" t="s">
        <v>1305</v>
      </c>
      <c r="H262" s="3" t="s">
        <v>1306</v>
      </c>
      <c r="I262" s="2" t="s">
        <v>1307</v>
      </c>
      <c r="J262" s="3" t="s">
        <v>1308</v>
      </c>
      <c r="K262" s="2" t="s">
        <v>1309</v>
      </c>
      <c r="L262" s="3" t="s">
        <v>1310</v>
      </c>
      <c r="N262" s="4" t="s">
        <v>38</v>
      </c>
      <c r="O262" s="4" t="s">
        <v>38</v>
      </c>
      <c r="Q262" s="4" t="s">
        <v>38</v>
      </c>
      <c r="R262" s="2" t="s">
        <v>1311</v>
      </c>
      <c r="S262" s="2" t="s">
        <v>40</v>
      </c>
      <c r="T262" s="3" t="s">
        <v>266</v>
      </c>
      <c r="U262" s="2" t="s">
        <v>42</v>
      </c>
      <c r="V262" s="2" t="s">
        <v>43</v>
      </c>
      <c r="Y262" s="2" t="str">
        <f>VLOOKUP(C262,[1]Cat_Objetos!$C$4:$C$346,1,FALSE)</f>
        <v>Metadatos del proceso de cálculo de datos agregados e indicadores objetivo</v>
      </c>
    </row>
    <row r="263" spans="1:25" ht="29.15" x14ac:dyDescent="0.4">
      <c r="A263" s="4">
        <f t="shared" si="4"/>
        <v>260</v>
      </c>
      <c r="B263" s="2" t="s">
        <v>1312</v>
      </c>
      <c r="C263" s="3" t="s">
        <v>1313</v>
      </c>
      <c r="D263" s="8"/>
      <c r="E263" s="2" t="s">
        <v>1204</v>
      </c>
      <c r="F263" s="2" t="s">
        <v>1205</v>
      </c>
      <c r="G263" s="2" t="s">
        <v>1305</v>
      </c>
      <c r="H263" s="3" t="s">
        <v>1306</v>
      </c>
      <c r="I263" s="2" t="s">
        <v>1307</v>
      </c>
      <c r="J263" s="3" t="s">
        <v>1308</v>
      </c>
      <c r="K263" s="2" t="s">
        <v>1309</v>
      </c>
      <c r="L263" s="3" t="s">
        <v>1310</v>
      </c>
      <c r="N263" s="4" t="s">
        <v>38</v>
      </c>
      <c r="O263" s="4" t="s">
        <v>38</v>
      </c>
      <c r="Q263" s="4" t="s">
        <v>38</v>
      </c>
      <c r="R263" s="2" t="s">
        <v>1311</v>
      </c>
      <c r="S263" s="2" t="s">
        <v>40</v>
      </c>
      <c r="T263" s="3" t="s">
        <v>905</v>
      </c>
      <c r="U263" s="2" t="s">
        <v>42</v>
      </c>
      <c r="V263" s="2" t="s">
        <v>273</v>
      </c>
      <c r="Y263" s="2" t="str">
        <f>VLOOKUP(C263,[1]Cat_Objetos!$C$4:$C$346,1,FALSE)</f>
        <v>Datos agregados e indicadores objetivo</v>
      </c>
    </row>
    <row r="264" spans="1:25" ht="29.15" x14ac:dyDescent="0.4">
      <c r="A264" s="4">
        <f t="shared" si="4"/>
        <v>261</v>
      </c>
      <c r="B264" s="2" t="s">
        <v>1314</v>
      </c>
      <c r="C264" s="3" t="s">
        <v>1315</v>
      </c>
      <c r="D264" s="8"/>
      <c r="E264" s="2" t="s">
        <v>1204</v>
      </c>
      <c r="F264" s="2" t="s">
        <v>1205</v>
      </c>
      <c r="G264" s="2" t="s">
        <v>1305</v>
      </c>
      <c r="H264" s="3" t="s">
        <v>1306</v>
      </c>
      <c r="I264" s="2" t="s">
        <v>1307</v>
      </c>
      <c r="J264" s="3" t="s">
        <v>1308</v>
      </c>
      <c r="K264" s="2" t="s">
        <v>1316</v>
      </c>
      <c r="L264" s="3" t="s">
        <v>1317</v>
      </c>
      <c r="N264" s="4" t="s">
        <v>38</v>
      </c>
      <c r="O264" s="4" t="s">
        <v>38</v>
      </c>
      <c r="Q264" s="4" t="s">
        <v>38</v>
      </c>
      <c r="R264" s="2" t="s">
        <v>1311</v>
      </c>
      <c r="S264" s="2" t="s">
        <v>40</v>
      </c>
      <c r="T264" s="3" t="s">
        <v>266</v>
      </c>
      <c r="U264" s="2" t="s">
        <v>42</v>
      </c>
      <c r="V264" s="2" t="s">
        <v>43</v>
      </c>
      <c r="Y264" s="2" t="str">
        <f>VLOOKUP(C264,[1]Cat_Objetos!$C$4:$C$346,1,FALSE)</f>
        <v>Metadatos del proceso del cálculo de estadísticas complementarias</v>
      </c>
    </row>
    <row r="265" spans="1:25" ht="29.15" x14ac:dyDescent="0.4">
      <c r="A265" s="4">
        <f t="shared" si="4"/>
        <v>262</v>
      </c>
      <c r="B265" s="2" t="s">
        <v>1318</v>
      </c>
      <c r="C265" s="3" t="s">
        <v>1319</v>
      </c>
      <c r="D265" s="8"/>
      <c r="E265" s="2" t="s">
        <v>1204</v>
      </c>
      <c r="F265" s="2" t="s">
        <v>1205</v>
      </c>
      <c r="G265" s="2" t="s">
        <v>1305</v>
      </c>
      <c r="H265" s="3" t="s">
        <v>1306</v>
      </c>
      <c r="I265" s="2" t="s">
        <v>1307</v>
      </c>
      <c r="J265" s="3" t="s">
        <v>1308</v>
      </c>
      <c r="K265" s="2" t="s">
        <v>1316</v>
      </c>
      <c r="L265" s="3" t="s">
        <v>1317</v>
      </c>
      <c r="N265" s="4" t="s">
        <v>38</v>
      </c>
      <c r="O265" s="4" t="s">
        <v>38</v>
      </c>
      <c r="Q265" s="4" t="s">
        <v>38</v>
      </c>
      <c r="R265" s="2" t="s">
        <v>1311</v>
      </c>
      <c r="S265" s="2" t="s">
        <v>40</v>
      </c>
      <c r="T265" s="3" t="s">
        <v>905</v>
      </c>
      <c r="U265" s="2" t="s">
        <v>42</v>
      </c>
      <c r="V265" s="2" t="s">
        <v>273</v>
      </c>
      <c r="Y265" s="2" t="str">
        <f>VLOOKUP(C265,[1]Cat_Objetos!$C$4:$C$346,1,FALSE)</f>
        <v>Medidas de estadísticas complementarias</v>
      </c>
    </row>
    <row r="266" spans="1:25" ht="29.15" x14ac:dyDescent="0.4">
      <c r="A266" s="4">
        <f t="shared" si="4"/>
        <v>263</v>
      </c>
      <c r="B266" s="2" t="s">
        <v>1320</v>
      </c>
      <c r="C266" s="3" t="s">
        <v>1321</v>
      </c>
      <c r="D266" s="8"/>
      <c r="E266" s="2" t="s">
        <v>1204</v>
      </c>
      <c r="F266" s="2" t="s">
        <v>1205</v>
      </c>
      <c r="G266" s="2" t="s">
        <v>1305</v>
      </c>
      <c r="H266" s="3" t="s">
        <v>1306</v>
      </c>
      <c r="I266" s="2" t="s">
        <v>1307</v>
      </c>
      <c r="J266" s="3" t="s">
        <v>1308</v>
      </c>
      <c r="K266" s="2" t="s">
        <v>1322</v>
      </c>
      <c r="L266" s="3" t="s">
        <v>1323</v>
      </c>
      <c r="N266" s="4" t="s">
        <v>38</v>
      </c>
      <c r="O266" s="4" t="s">
        <v>38</v>
      </c>
      <c r="Q266" s="4" t="s">
        <v>38</v>
      </c>
      <c r="R266" s="2" t="s">
        <v>1311</v>
      </c>
      <c r="S266" s="2" t="s">
        <v>40</v>
      </c>
      <c r="T266" s="3" t="s">
        <v>266</v>
      </c>
      <c r="U266" s="2" t="s">
        <v>42</v>
      </c>
      <c r="V266" s="2" t="s">
        <v>43</v>
      </c>
      <c r="Y266" s="2" t="str">
        <f>VLOOKUP(C266,[1]Cat_Objetos!$C$4:$C$346,1,FALSE)</f>
        <v>Metadatos del proceso de cálculo de errores e indicadores de precisión</v>
      </c>
    </row>
    <row r="267" spans="1:25" ht="29.15" x14ac:dyDescent="0.4">
      <c r="A267" s="4">
        <f t="shared" si="4"/>
        <v>264</v>
      </c>
      <c r="B267" s="2" t="s">
        <v>1324</v>
      </c>
      <c r="C267" s="3" t="s">
        <v>1325</v>
      </c>
      <c r="E267" s="2" t="s">
        <v>1204</v>
      </c>
      <c r="F267" s="2" t="s">
        <v>1205</v>
      </c>
      <c r="G267" s="2" t="s">
        <v>1305</v>
      </c>
      <c r="H267" s="3" t="s">
        <v>1306</v>
      </c>
      <c r="I267" s="2" t="s">
        <v>1307</v>
      </c>
      <c r="J267" s="3" t="s">
        <v>1308</v>
      </c>
      <c r="K267" s="2" t="s">
        <v>1322</v>
      </c>
      <c r="L267" s="3" t="s">
        <v>1323</v>
      </c>
      <c r="N267" s="4" t="s">
        <v>38</v>
      </c>
      <c r="O267" s="4" t="s">
        <v>38</v>
      </c>
      <c r="Q267" s="4" t="s">
        <v>38</v>
      </c>
      <c r="R267" s="2" t="s">
        <v>1311</v>
      </c>
      <c r="S267" s="2" t="s">
        <v>40</v>
      </c>
      <c r="T267" s="3" t="s">
        <v>76</v>
      </c>
      <c r="U267" s="2" t="s">
        <v>42</v>
      </c>
      <c r="V267" s="2" t="s">
        <v>43</v>
      </c>
      <c r="Y267" s="2" t="str">
        <f>VLOOKUP(C267,[1]Cat_Objetos!$C$4:$C$346,1,FALSE)</f>
        <v>Errores e indicadores de precisión</v>
      </c>
    </row>
    <row r="268" spans="1:25" ht="29.15" x14ac:dyDescent="0.4">
      <c r="A268" s="4">
        <f t="shared" si="4"/>
        <v>265</v>
      </c>
      <c r="B268" s="2" t="s">
        <v>1326</v>
      </c>
      <c r="C268" s="3" t="s">
        <v>1327</v>
      </c>
      <c r="D268" s="2" t="s">
        <v>1328</v>
      </c>
      <c r="E268" s="2" t="s">
        <v>1204</v>
      </c>
      <c r="F268" s="2" t="s">
        <v>1205</v>
      </c>
      <c r="G268" s="2" t="s">
        <v>1329</v>
      </c>
      <c r="H268" s="3" t="s">
        <v>1330</v>
      </c>
      <c r="I268" s="2" t="s">
        <v>1331</v>
      </c>
      <c r="J268" s="3" t="s">
        <v>1332</v>
      </c>
      <c r="K268" s="2" t="s">
        <v>1333</v>
      </c>
      <c r="L268" s="3" t="s">
        <v>1334</v>
      </c>
      <c r="N268" s="4" t="s">
        <v>38</v>
      </c>
      <c r="O268" s="4" t="s">
        <v>38</v>
      </c>
      <c r="Q268" s="4" t="s">
        <v>38</v>
      </c>
      <c r="R268" s="2" t="s">
        <v>1335</v>
      </c>
      <c r="S268" s="2" t="s">
        <v>40</v>
      </c>
      <c r="T268" s="3" t="s">
        <v>905</v>
      </c>
      <c r="U268" s="2" t="s">
        <v>42</v>
      </c>
      <c r="V268" s="2" t="s">
        <v>273</v>
      </c>
      <c r="Y268" s="2" t="str">
        <f>VLOOKUP(C268,[1]Cat_Objetos!$C$4:$C$346,1,FALSE)</f>
        <v>Conjunto de datos procesados</v>
      </c>
    </row>
    <row r="269" spans="1:25" ht="29.15" x14ac:dyDescent="0.4">
      <c r="A269" s="4">
        <f t="shared" si="4"/>
        <v>266</v>
      </c>
      <c r="B269" s="2" t="s">
        <v>1336</v>
      </c>
      <c r="C269" s="3" t="s">
        <v>1337</v>
      </c>
      <c r="D269" s="2" t="s">
        <v>1338</v>
      </c>
      <c r="E269" s="2" t="s">
        <v>1204</v>
      </c>
      <c r="F269" s="2" t="s">
        <v>1205</v>
      </c>
      <c r="G269" s="2" t="s">
        <v>1329</v>
      </c>
      <c r="H269" s="3" t="s">
        <v>1330</v>
      </c>
      <c r="I269" s="2" t="s">
        <v>1331</v>
      </c>
      <c r="J269" s="3" t="s">
        <v>1332</v>
      </c>
      <c r="K269" s="2" t="s">
        <v>1333</v>
      </c>
      <c r="L269" s="3" t="s">
        <v>1334</v>
      </c>
      <c r="N269" s="4" t="s">
        <v>38</v>
      </c>
      <c r="O269" s="4" t="s">
        <v>38</v>
      </c>
      <c r="Q269" s="4" t="s">
        <v>38</v>
      </c>
      <c r="R269" s="2" t="s">
        <v>1339</v>
      </c>
      <c r="S269" s="2" t="s">
        <v>40</v>
      </c>
      <c r="T269" s="3" t="s">
        <v>266</v>
      </c>
      <c r="U269" s="2" t="s">
        <v>42</v>
      </c>
      <c r="V269" s="2" t="s">
        <v>43</v>
      </c>
      <c r="Y269" s="2" t="str">
        <f>VLOOKUP(C269,[1]Cat_Objetos!$C$4:$C$346,1,FALSE)</f>
        <v>Metadatos del procesamiento</v>
      </c>
    </row>
    <row r="270" spans="1:25" ht="29.15" x14ac:dyDescent="0.4">
      <c r="A270" s="4">
        <f t="shared" si="4"/>
        <v>267</v>
      </c>
      <c r="B270" s="2" t="s">
        <v>1340</v>
      </c>
      <c r="C270" s="3" t="s">
        <v>1341</v>
      </c>
      <c r="E270" s="2" t="s">
        <v>1342</v>
      </c>
      <c r="F270" s="2" t="s">
        <v>1343</v>
      </c>
      <c r="G270" s="2" t="s">
        <v>1344</v>
      </c>
      <c r="H270" s="3" t="s">
        <v>1345</v>
      </c>
      <c r="I270" s="2" t="s">
        <v>1346</v>
      </c>
      <c r="J270" s="3" t="s">
        <v>1347</v>
      </c>
      <c r="K270" s="2" t="s">
        <v>1348</v>
      </c>
      <c r="L270" s="3" t="s">
        <v>1349</v>
      </c>
      <c r="N270" s="4" t="s">
        <v>38</v>
      </c>
      <c r="O270" s="4" t="s">
        <v>38</v>
      </c>
      <c r="Q270" s="4" t="s">
        <v>38</v>
      </c>
      <c r="R270" s="2" t="s">
        <v>1350</v>
      </c>
      <c r="S270" s="2" t="s">
        <v>40</v>
      </c>
      <c r="T270" s="3" t="s">
        <v>905</v>
      </c>
      <c r="U270" s="2" t="s">
        <v>42</v>
      </c>
      <c r="V270" s="2" t="s">
        <v>273</v>
      </c>
      <c r="Y270" s="2" t="str">
        <f>VLOOKUP(C270,[1]Cat_Objetos!$C$4:$C$346,1,FALSE)</f>
        <v>Conjunto de resultados estadísticos</v>
      </c>
    </row>
    <row r="271" spans="1:25" ht="29.15" x14ac:dyDescent="0.4">
      <c r="A271" s="4">
        <f t="shared" si="4"/>
        <v>268</v>
      </c>
      <c r="B271" s="2" t="s">
        <v>1351</v>
      </c>
      <c r="C271" s="3" t="s">
        <v>1352</v>
      </c>
      <c r="E271" s="2" t="s">
        <v>1342</v>
      </c>
      <c r="F271" s="2" t="s">
        <v>1343</v>
      </c>
      <c r="G271" s="2" t="s">
        <v>1344</v>
      </c>
      <c r="H271" s="3" t="s">
        <v>1345</v>
      </c>
      <c r="I271" s="2" t="s">
        <v>1346</v>
      </c>
      <c r="J271" s="3" t="s">
        <v>1347</v>
      </c>
      <c r="K271" s="2" t="s">
        <v>1348</v>
      </c>
      <c r="L271" s="3" t="s">
        <v>1349</v>
      </c>
      <c r="N271" s="4" t="s">
        <v>38</v>
      </c>
      <c r="O271" s="4" t="s">
        <v>38</v>
      </c>
      <c r="Q271" s="4" t="s">
        <v>38</v>
      </c>
      <c r="R271" s="2" t="s">
        <v>1353</v>
      </c>
      <c r="S271" s="2" t="s">
        <v>40</v>
      </c>
      <c r="T271" s="3" t="s">
        <v>266</v>
      </c>
      <c r="U271" s="2" t="s">
        <v>42</v>
      </c>
      <c r="V271" s="2" t="s">
        <v>43</v>
      </c>
      <c r="Y271" s="2" t="str">
        <f>VLOOKUP(C271,[1]Cat_Objetos!$C$4:$C$346,1,FALSE)</f>
        <v>Metadatos del proceso de cálculo de resultados estadísticos</v>
      </c>
    </row>
    <row r="272" spans="1:25" ht="29.15" x14ac:dyDescent="0.4">
      <c r="A272" s="4">
        <f t="shared" si="4"/>
        <v>269</v>
      </c>
      <c r="B272" s="2" t="s">
        <v>1354</v>
      </c>
      <c r="C272" s="3" t="s">
        <v>1355</v>
      </c>
      <c r="E272" s="2" t="s">
        <v>1342</v>
      </c>
      <c r="F272" s="2" t="s">
        <v>1343</v>
      </c>
      <c r="G272" s="2" t="s">
        <v>1344</v>
      </c>
      <c r="H272" s="3" t="s">
        <v>1345</v>
      </c>
      <c r="I272" s="2" t="s">
        <v>1346</v>
      </c>
      <c r="J272" s="3" t="s">
        <v>1347</v>
      </c>
      <c r="K272" s="2" t="s">
        <v>1356</v>
      </c>
      <c r="L272" s="3" t="s">
        <v>1357</v>
      </c>
      <c r="N272" s="4" t="s">
        <v>38</v>
      </c>
      <c r="O272" s="4" t="s">
        <v>38</v>
      </c>
      <c r="Q272" s="4" t="s">
        <v>38</v>
      </c>
      <c r="R272" s="2" t="s">
        <v>1353</v>
      </c>
      <c r="S272" s="2" t="s">
        <v>40</v>
      </c>
      <c r="T272" s="3" t="s">
        <v>266</v>
      </c>
      <c r="U272" s="2" t="s">
        <v>42</v>
      </c>
      <c r="V272" s="2" t="s">
        <v>43</v>
      </c>
      <c r="Y272" s="2" t="str">
        <f>VLOOKUP(C272,[1]Cat_Objetos!$C$4:$C$346,1,FALSE)</f>
        <v>Metadatos del proceso de índices, tendencias y otras medidas estadísticas</v>
      </c>
    </row>
    <row r="273" spans="1:25" ht="29.15" x14ac:dyDescent="0.4">
      <c r="A273" s="4">
        <f t="shared" si="4"/>
        <v>270</v>
      </c>
      <c r="B273" s="2" t="s">
        <v>1358</v>
      </c>
      <c r="C273" s="3" t="s">
        <v>1359</v>
      </c>
      <c r="D273" s="8"/>
      <c r="E273" s="2" t="s">
        <v>1342</v>
      </c>
      <c r="F273" s="2" t="s">
        <v>1343</v>
      </c>
      <c r="G273" s="2" t="s">
        <v>1344</v>
      </c>
      <c r="H273" s="3" t="s">
        <v>1345</v>
      </c>
      <c r="I273" s="2" t="s">
        <v>1346</v>
      </c>
      <c r="J273" s="3" t="s">
        <v>1347</v>
      </c>
      <c r="K273" s="2" t="s">
        <v>1356</v>
      </c>
      <c r="L273" s="3" t="s">
        <v>1357</v>
      </c>
      <c r="N273" s="4" t="s">
        <v>38</v>
      </c>
      <c r="O273" s="4" t="s">
        <v>38</v>
      </c>
      <c r="Q273" s="4" t="s">
        <v>38</v>
      </c>
      <c r="R273" s="2" t="s">
        <v>1350</v>
      </c>
      <c r="S273" s="2" t="s">
        <v>40</v>
      </c>
      <c r="T273" s="3" t="s">
        <v>905</v>
      </c>
      <c r="U273" s="2" t="s">
        <v>42</v>
      </c>
      <c r="V273" s="2" t="s">
        <v>273</v>
      </c>
      <c r="Y273" s="2" t="str">
        <f>VLOOKUP(C273,[1]Cat_Objetos!$C$4:$C$346,1,FALSE)</f>
        <v>Índices, tendencias y otras medidas estadísticas</v>
      </c>
    </row>
    <row r="274" spans="1:25" ht="29.15" x14ac:dyDescent="0.4">
      <c r="A274" s="4">
        <f t="shared" si="4"/>
        <v>271</v>
      </c>
      <c r="B274" s="2" t="s">
        <v>1360</v>
      </c>
      <c r="C274" s="3" t="s">
        <v>1361</v>
      </c>
      <c r="E274" s="2" t="s">
        <v>1342</v>
      </c>
      <c r="F274" s="2" t="s">
        <v>1343</v>
      </c>
      <c r="G274" s="2" t="s">
        <v>1344</v>
      </c>
      <c r="H274" s="3" t="s">
        <v>1345</v>
      </c>
      <c r="I274" s="2" t="s">
        <v>1346</v>
      </c>
      <c r="J274" s="3" t="s">
        <v>1347</v>
      </c>
      <c r="K274" s="2" t="s">
        <v>1362</v>
      </c>
      <c r="L274" s="3" t="s">
        <v>1363</v>
      </c>
      <c r="N274" s="4" t="s">
        <v>38</v>
      </c>
      <c r="O274" s="4" t="s">
        <v>38</v>
      </c>
      <c r="Q274" s="4" t="s">
        <v>38</v>
      </c>
      <c r="R274" s="2" t="s">
        <v>1353</v>
      </c>
      <c r="S274" s="2" t="s">
        <v>40</v>
      </c>
      <c r="T274" s="3" t="s">
        <v>266</v>
      </c>
      <c r="U274" s="2" t="s">
        <v>42</v>
      </c>
      <c r="V274" s="2" t="s">
        <v>43</v>
      </c>
      <c r="Y274" s="2" t="str">
        <f>VLOOKUP(C274,[1]Cat_Objetos!$C$4:$C$346,1,FALSE)</f>
        <v>Metadatos del proceso de cálculo de indicadores de calidad</v>
      </c>
    </row>
    <row r="275" spans="1:25" ht="29.15" x14ac:dyDescent="0.4">
      <c r="A275" s="4">
        <f t="shared" si="4"/>
        <v>272</v>
      </c>
      <c r="B275" s="2" t="s">
        <v>1364</v>
      </c>
      <c r="C275" s="3" t="s">
        <v>1365</v>
      </c>
      <c r="E275" s="2" t="s">
        <v>1342</v>
      </c>
      <c r="F275" s="2" t="s">
        <v>1343</v>
      </c>
      <c r="G275" s="2" t="s">
        <v>1344</v>
      </c>
      <c r="H275" s="3" t="s">
        <v>1345</v>
      </c>
      <c r="I275" s="2" t="s">
        <v>1346</v>
      </c>
      <c r="J275" s="3" t="s">
        <v>1347</v>
      </c>
      <c r="K275" s="2" t="s">
        <v>1362</v>
      </c>
      <c r="L275" s="3" t="s">
        <v>1363</v>
      </c>
      <c r="N275" s="4" t="s">
        <v>38</v>
      </c>
      <c r="O275" s="4" t="s">
        <v>38</v>
      </c>
      <c r="Q275" s="4" t="s">
        <v>38</v>
      </c>
      <c r="R275" s="2" t="s">
        <v>1366</v>
      </c>
      <c r="S275" s="2" t="s">
        <v>40</v>
      </c>
      <c r="T275" s="3" t="s">
        <v>1026</v>
      </c>
      <c r="U275" s="2" t="s">
        <v>42</v>
      </c>
      <c r="V275" s="2" t="s">
        <v>43</v>
      </c>
      <c r="Y275" s="2" t="str">
        <f>VLOOKUP(C275,[1]Cat_Objetos!$C$4:$C$346,1,FALSE)</f>
        <v>Indicadores de calidad</v>
      </c>
    </row>
    <row r="276" spans="1:25" ht="29.15" x14ac:dyDescent="0.4">
      <c r="A276" s="4">
        <f t="shared" si="4"/>
        <v>273</v>
      </c>
      <c r="B276" s="2" t="s">
        <v>1367</v>
      </c>
      <c r="C276" s="3" t="s">
        <v>1368</v>
      </c>
      <c r="D276" s="8"/>
      <c r="E276" s="2" t="s">
        <v>1342</v>
      </c>
      <c r="F276" s="2" t="s">
        <v>1343</v>
      </c>
      <c r="G276" s="2" t="s">
        <v>1369</v>
      </c>
      <c r="H276" s="3" t="s">
        <v>1370</v>
      </c>
      <c r="I276" s="2" t="s">
        <v>1371</v>
      </c>
      <c r="J276" s="3" t="s">
        <v>1372</v>
      </c>
      <c r="K276" s="2" t="s">
        <v>1373</v>
      </c>
      <c r="L276" s="3" t="s">
        <v>1374</v>
      </c>
      <c r="N276" s="4" t="s">
        <v>38</v>
      </c>
      <c r="O276" s="4" t="s">
        <v>38</v>
      </c>
      <c r="Q276" s="4" t="s">
        <v>311</v>
      </c>
      <c r="R276" s="2" t="s">
        <v>1353</v>
      </c>
      <c r="S276" s="2" t="s">
        <v>40</v>
      </c>
      <c r="T276" s="3" t="s">
        <v>95</v>
      </c>
      <c r="U276" s="2" t="s">
        <v>42</v>
      </c>
      <c r="V276" s="2" t="s">
        <v>43</v>
      </c>
      <c r="Y276" s="2" t="str">
        <f>VLOOKUP(C276,[1]Cat_Objetos!$C$4:$C$346,1,FALSE)</f>
        <v>Reporte de la confiabilidad de los datos</v>
      </c>
    </row>
    <row r="277" spans="1:25" x14ac:dyDescent="0.4">
      <c r="A277" s="4">
        <f t="shared" si="4"/>
        <v>274</v>
      </c>
      <c r="B277" s="2" t="s">
        <v>1375</v>
      </c>
      <c r="C277" s="3" t="s">
        <v>1376</v>
      </c>
      <c r="E277" s="2" t="s">
        <v>1342</v>
      </c>
      <c r="F277" s="2" t="s">
        <v>1343</v>
      </c>
      <c r="G277" s="2" t="s">
        <v>1369</v>
      </c>
      <c r="H277" s="3" t="s">
        <v>1370</v>
      </c>
      <c r="I277" s="2" t="s">
        <v>1371</v>
      </c>
      <c r="J277" s="3" t="s">
        <v>1372</v>
      </c>
      <c r="K277" s="2" t="s">
        <v>1377</v>
      </c>
      <c r="L277" s="3" t="s">
        <v>1378</v>
      </c>
      <c r="N277" s="4" t="s">
        <v>38</v>
      </c>
      <c r="O277" s="4" t="s">
        <v>38</v>
      </c>
      <c r="Q277" s="4" t="s">
        <v>38</v>
      </c>
      <c r="R277" s="2" t="s">
        <v>1353</v>
      </c>
      <c r="S277" s="2" t="s">
        <v>40</v>
      </c>
      <c r="T277" s="3" t="s">
        <v>76</v>
      </c>
      <c r="U277" s="2" t="s">
        <v>42</v>
      </c>
      <c r="V277" s="2" t="s">
        <v>43</v>
      </c>
      <c r="Y277" s="2" t="str">
        <f>VLOOKUP(C277,[1]Cat_Objetos!$C$4:$C$346,1,FALSE)</f>
        <v>Reporte de comparabilidad con otros ciclos</v>
      </c>
    </row>
    <row r="278" spans="1:25" x14ac:dyDescent="0.4">
      <c r="A278" s="4">
        <f t="shared" si="4"/>
        <v>275</v>
      </c>
      <c r="B278" s="2" t="s">
        <v>1379</v>
      </c>
      <c r="C278" s="3" t="s">
        <v>1380</v>
      </c>
      <c r="D278" s="8"/>
      <c r="E278" s="2" t="s">
        <v>1342</v>
      </c>
      <c r="F278" s="2" t="s">
        <v>1343</v>
      </c>
      <c r="G278" s="2" t="s">
        <v>1369</v>
      </c>
      <c r="H278" s="3" t="s">
        <v>1370</v>
      </c>
      <c r="I278" s="2" t="s">
        <v>1371</v>
      </c>
      <c r="J278" s="3" t="s">
        <v>1372</v>
      </c>
      <c r="K278" s="2" t="s">
        <v>1381</v>
      </c>
      <c r="L278" s="3" t="s">
        <v>1382</v>
      </c>
      <c r="N278" s="4" t="s">
        <v>38</v>
      </c>
      <c r="O278" s="4" t="s">
        <v>38</v>
      </c>
      <c r="Q278" s="4" t="s">
        <v>38</v>
      </c>
      <c r="R278" s="2" t="s">
        <v>1353</v>
      </c>
      <c r="S278" s="2" t="s">
        <v>40</v>
      </c>
      <c r="T278" s="3" t="s">
        <v>76</v>
      </c>
      <c r="U278" s="2" t="s">
        <v>42</v>
      </c>
      <c r="V278" s="2" t="s">
        <v>43</v>
      </c>
      <c r="Y278" s="2" t="str">
        <f>VLOOKUP(C278,[1]Cat_Objetos!$C$4:$C$346,1,FALSE)</f>
        <v>Reporte de consistencia con otras fuentes</v>
      </c>
    </row>
    <row r="279" spans="1:25" x14ac:dyDescent="0.4">
      <c r="A279" s="4">
        <f t="shared" si="4"/>
        <v>276</v>
      </c>
      <c r="B279" s="2" t="s">
        <v>1383</v>
      </c>
      <c r="C279" s="3" t="s">
        <v>1384</v>
      </c>
      <c r="D279" s="8"/>
      <c r="E279" s="2" t="s">
        <v>1342</v>
      </c>
      <c r="F279" s="2" t="s">
        <v>1343</v>
      </c>
      <c r="G279" s="2" t="s">
        <v>1369</v>
      </c>
      <c r="H279" s="3" t="s">
        <v>1370</v>
      </c>
      <c r="I279" s="2" t="s">
        <v>1371</v>
      </c>
      <c r="J279" s="3" t="s">
        <v>1372</v>
      </c>
      <c r="K279" s="2" t="s">
        <v>1385</v>
      </c>
      <c r="L279" s="3" t="s">
        <v>1386</v>
      </c>
      <c r="N279" s="4" t="s">
        <v>38</v>
      </c>
      <c r="O279" s="4" t="s">
        <v>38</v>
      </c>
      <c r="Q279" s="4" t="s">
        <v>38</v>
      </c>
      <c r="R279" s="2" t="s">
        <v>1353</v>
      </c>
      <c r="S279" s="2" t="s">
        <v>40</v>
      </c>
      <c r="T279" s="3" t="s">
        <v>95</v>
      </c>
      <c r="U279" s="2" t="s">
        <v>42</v>
      </c>
      <c r="V279" s="2" t="s">
        <v>43</v>
      </c>
      <c r="Y279" s="2" t="str">
        <f>VLOOKUP(C279,[1]Cat_Objetos!$C$4:$C$346,1,FALSE)</f>
        <v>Reporte de análisis de inconsistencias</v>
      </c>
    </row>
    <row r="280" spans="1:25" ht="29.15" x14ac:dyDescent="0.4">
      <c r="A280" s="4">
        <f t="shared" si="4"/>
        <v>277</v>
      </c>
      <c r="B280" s="2" t="s">
        <v>1387</v>
      </c>
      <c r="C280" s="3" t="s">
        <v>1388</v>
      </c>
      <c r="E280" s="2" t="s">
        <v>1342</v>
      </c>
      <c r="F280" s="2" t="s">
        <v>1343</v>
      </c>
      <c r="G280" s="2" t="s">
        <v>1369</v>
      </c>
      <c r="H280" s="3" t="s">
        <v>1370</v>
      </c>
      <c r="I280" s="2" t="s">
        <v>1371</v>
      </c>
      <c r="J280" s="3" t="s">
        <v>1372</v>
      </c>
      <c r="K280" s="2" t="s">
        <v>1389</v>
      </c>
      <c r="L280" s="3" t="s">
        <v>1390</v>
      </c>
      <c r="N280" s="4" t="s">
        <v>38</v>
      </c>
      <c r="O280" s="4" t="s">
        <v>38</v>
      </c>
      <c r="Q280" s="4" t="s">
        <v>38</v>
      </c>
      <c r="R280" s="2" t="s">
        <v>1391</v>
      </c>
      <c r="S280" s="2" t="s">
        <v>40</v>
      </c>
      <c r="T280" s="3" t="s">
        <v>76</v>
      </c>
      <c r="U280" s="2" t="s">
        <v>42</v>
      </c>
      <c r="V280" s="2" t="s">
        <v>43</v>
      </c>
      <c r="Y280" s="2" t="str">
        <f>VLOOKUP(C280,[1]Cat_Objetos!$C$4:$C$346,1,FALSE)</f>
        <v>Justificación de validez de resultados</v>
      </c>
    </row>
    <row r="281" spans="1:25" x14ac:dyDescent="0.4">
      <c r="A281" s="4">
        <f t="shared" si="4"/>
        <v>278</v>
      </c>
      <c r="B281" s="2" t="s">
        <v>1392</v>
      </c>
      <c r="C281" s="3" t="s">
        <v>1393</v>
      </c>
      <c r="D281" s="8"/>
      <c r="E281" s="2" t="s">
        <v>1342</v>
      </c>
      <c r="F281" s="2" t="s">
        <v>1343</v>
      </c>
      <c r="G281" s="2" t="s">
        <v>1394</v>
      </c>
      <c r="H281" s="3" t="s">
        <v>1395</v>
      </c>
      <c r="I281" s="2" t="s">
        <v>1396</v>
      </c>
      <c r="J281" s="3" t="s">
        <v>1397</v>
      </c>
      <c r="K281" s="2" t="s">
        <v>1398</v>
      </c>
      <c r="L281" s="3" t="s">
        <v>1399</v>
      </c>
      <c r="N281" s="4" t="s">
        <v>38</v>
      </c>
      <c r="O281" s="4" t="s">
        <v>38</v>
      </c>
      <c r="Q281" s="4" t="s">
        <v>38</v>
      </c>
      <c r="R281" s="2" t="s">
        <v>1350</v>
      </c>
      <c r="S281" s="2" t="s">
        <v>40</v>
      </c>
      <c r="T281" s="3" t="s">
        <v>272</v>
      </c>
      <c r="U281" s="2" t="s">
        <v>42</v>
      </c>
      <c r="V281" s="2" t="s">
        <v>273</v>
      </c>
      <c r="Y281" s="2" t="str">
        <f>VLOOKUP(C281,[1]Cat_Objetos!$C$4:$C$346,1,FALSE)</f>
        <v>Modelo de base de datos (actualizado)</v>
      </c>
    </row>
    <row r="282" spans="1:25" x14ac:dyDescent="0.4">
      <c r="A282" s="4">
        <f t="shared" si="4"/>
        <v>279</v>
      </c>
      <c r="B282" s="2" t="s">
        <v>1400</v>
      </c>
      <c r="C282" s="3" t="s">
        <v>1401</v>
      </c>
      <c r="D282" s="2" t="s">
        <v>1402</v>
      </c>
      <c r="E282" s="2" t="s">
        <v>1342</v>
      </c>
      <c r="F282" s="2" t="s">
        <v>1343</v>
      </c>
      <c r="G282" s="2" t="s">
        <v>1394</v>
      </c>
      <c r="H282" s="3" t="s">
        <v>1395</v>
      </c>
      <c r="I282" s="2" t="s">
        <v>1396</v>
      </c>
      <c r="J282" s="3" t="s">
        <v>1397</v>
      </c>
      <c r="K282" s="2" t="s">
        <v>1398</v>
      </c>
      <c r="L282" s="3" t="s">
        <v>1399</v>
      </c>
      <c r="N282" s="4" t="s">
        <v>38</v>
      </c>
      <c r="O282" s="4" t="s">
        <v>38</v>
      </c>
      <c r="Q282" s="4" t="s">
        <v>38</v>
      </c>
      <c r="R282" s="2" t="s">
        <v>1403</v>
      </c>
      <c r="S282" s="2" t="s">
        <v>40</v>
      </c>
      <c r="T282" s="3" t="s">
        <v>905</v>
      </c>
      <c r="U282" s="2" t="s">
        <v>42</v>
      </c>
      <c r="V282" s="2" t="s">
        <v>273</v>
      </c>
      <c r="Y282" s="2" t="str">
        <f>VLOOKUP(C282,[1]Cat_Objetos!$C$4:$C$346,1,FALSE)</f>
        <v>Conjunto de datos con controles de difusión</v>
      </c>
    </row>
    <row r="283" spans="1:25" x14ac:dyDescent="0.4">
      <c r="A283" s="4">
        <f t="shared" si="4"/>
        <v>280</v>
      </c>
      <c r="B283" s="16" t="s">
        <v>1404</v>
      </c>
      <c r="C283" s="3" t="s">
        <v>1405</v>
      </c>
      <c r="D283" s="8"/>
      <c r="E283" s="2" t="s">
        <v>1342</v>
      </c>
      <c r="F283" s="2" t="s">
        <v>1343</v>
      </c>
      <c r="G283" s="2" t="s">
        <v>1394</v>
      </c>
      <c r="H283" s="3" t="s">
        <v>1395</v>
      </c>
      <c r="I283" s="2" t="s">
        <v>1396</v>
      </c>
      <c r="J283" s="3" t="s">
        <v>1397</v>
      </c>
      <c r="K283" s="2" t="s">
        <v>1406</v>
      </c>
      <c r="L283" s="3" t="s">
        <v>1407</v>
      </c>
      <c r="N283" s="4" t="s">
        <v>38</v>
      </c>
      <c r="O283" s="4" t="s">
        <v>38</v>
      </c>
      <c r="Q283" s="4" t="s">
        <v>38</v>
      </c>
      <c r="R283" s="2" t="s">
        <v>1408</v>
      </c>
      <c r="S283" s="2" t="s">
        <v>40</v>
      </c>
      <c r="T283" s="3" t="s">
        <v>95</v>
      </c>
      <c r="U283" s="2" t="s">
        <v>42</v>
      </c>
      <c r="V283" s="2" t="s">
        <v>43</v>
      </c>
      <c r="Y283" s="2" t="str">
        <f>VLOOKUP(C283,[1]Cat_Objetos!$C$4:$C$346,1,FALSE)</f>
        <v>Formato de registro en el RBD&amp;RIE</v>
      </c>
    </row>
    <row r="284" spans="1:25" ht="29.15" x14ac:dyDescent="0.4">
      <c r="A284" s="4">
        <f t="shared" si="4"/>
        <v>281</v>
      </c>
      <c r="B284" s="2" t="s">
        <v>1409</v>
      </c>
      <c r="C284" s="3" t="s">
        <v>1410</v>
      </c>
      <c r="E284" s="2" t="s">
        <v>1342</v>
      </c>
      <c r="F284" s="2" t="s">
        <v>1343</v>
      </c>
      <c r="G284" s="2" t="s">
        <v>1411</v>
      </c>
      <c r="H284" s="3" t="s">
        <v>1412</v>
      </c>
      <c r="I284" s="2" t="s">
        <v>1413</v>
      </c>
      <c r="J284" s="3" t="s">
        <v>1414</v>
      </c>
      <c r="K284" s="2" t="s">
        <v>1415</v>
      </c>
      <c r="L284" s="3" t="s">
        <v>1416</v>
      </c>
      <c r="N284" s="4" t="s">
        <v>38</v>
      </c>
      <c r="O284" s="4" t="s">
        <v>38</v>
      </c>
      <c r="Q284" s="4" t="s">
        <v>38</v>
      </c>
      <c r="R284" s="2" t="s">
        <v>1350</v>
      </c>
      <c r="S284" s="2" t="s">
        <v>40</v>
      </c>
      <c r="T284" s="3" t="s">
        <v>266</v>
      </c>
      <c r="U284" s="2" t="s">
        <v>42</v>
      </c>
      <c r="V284" s="2" t="s">
        <v>43</v>
      </c>
      <c r="Y284" s="2" t="str">
        <f>VLOOKUP(C284,[1]Cat_Objetos!$C$4:$C$346,1,FALSE)</f>
        <v>Metadatos del conjunto de información</v>
      </c>
    </row>
    <row r="285" spans="1:25" ht="29.15" x14ac:dyDescent="0.4">
      <c r="A285" s="4">
        <f t="shared" si="4"/>
        <v>282</v>
      </c>
      <c r="B285" s="2" t="s">
        <v>1417</v>
      </c>
      <c r="C285" s="3" t="s">
        <v>1418</v>
      </c>
      <c r="D285" s="2" t="s">
        <v>1419</v>
      </c>
      <c r="E285" s="2" t="s">
        <v>1342</v>
      </c>
      <c r="F285" s="2" t="s">
        <v>1343</v>
      </c>
      <c r="G285" s="2" t="s">
        <v>1411</v>
      </c>
      <c r="H285" s="3" t="s">
        <v>1412</v>
      </c>
      <c r="I285" s="2" t="s">
        <v>1413</v>
      </c>
      <c r="J285" s="3" t="s">
        <v>1414</v>
      </c>
      <c r="K285" s="2" t="s">
        <v>1415</v>
      </c>
      <c r="L285" s="3" t="s">
        <v>1416</v>
      </c>
      <c r="N285" s="4" t="s">
        <v>38</v>
      </c>
      <c r="O285" s="4" t="s">
        <v>38</v>
      </c>
      <c r="Q285" s="4" t="s">
        <v>38</v>
      </c>
      <c r="R285" s="2" t="s">
        <v>1350</v>
      </c>
      <c r="S285" s="2" t="s">
        <v>40</v>
      </c>
      <c r="T285" s="3" t="s">
        <v>1280</v>
      </c>
      <c r="U285" s="2" t="s">
        <v>42</v>
      </c>
      <c r="V285" s="2" t="s">
        <v>43</v>
      </c>
      <c r="Y285" s="2" t="str">
        <f>VLOOKUP(C285,[1]Cat_Objetos!$C$4:$C$346,1,FALSE)</f>
        <v>Conjunto de información</v>
      </c>
    </row>
    <row r="286" spans="1:25" x14ac:dyDescent="0.4">
      <c r="A286" s="4">
        <f t="shared" si="4"/>
        <v>283</v>
      </c>
      <c r="B286" s="2" t="s">
        <v>1420</v>
      </c>
      <c r="C286" s="3" t="s">
        <v>1421</v>
      </c>
      <c r="E286" s="2" t="s">
        <v>1342</v>
      </c>
      <c r="F286" s="2" t="s">
        <v>1343</v>
      </c>
      <c r="G286" s="2" t="s">
        <v>1411</v>
      </c>
      <c r="H286" s="3" t="s">
        <v>1412</v>
      </c>
      <c r="I286" s="2" t="s">
        <v>1413</v>
      </c>
      <c r="J286" s="3" t="s">
        <v>1414</v>
      </c>
      <c r="K286" s="2" t="s">
        <v>1422</v>
      </c>
      <c r="L286" s="3" t="s">
        <v>1423</v>
      </c>
      <c r="N286" s="4" t="s">
        <v>38</v>
      </c>
      <c r="O286" s="4" t="s">
        <v>38</v>
      </c>
      <c r="Q286" s="4" t="s">
        <v>38</v>
      </c>
      <c r="R286" s="2" t="s">
        <v>1424</v>
      </c>
      <c r="S286" s="2" t="s">
        <v>40</v>
      </c>
      <c r="T286" s="3" t="s">
        <v>1425</v>
      </c>
      <c r="U286" s="2" t="s">
        <v>42</v>
      </c>
      <c r="V286" s="2" t="s">
        <v>43</v>
      </c>
      <c r="Y286" s="2" t="str">
        <f>VLOOKUP(C286,[1]Cat_Objetos!$C$4:$C$346,1,FALSE)</f>
        <v>Notas técnicas</v>
      </c>
    </row>
    <row r="287" spans="1:25" x14ac:dyDescent="0.4">
      <c r="A287" s="4">
        <f t="shared" si="4"/>
        <v>284</v>
      </c>
      <c r="B287" s="2" t="s">
        <v>1426</v>
      </c>
      <c r="C287" s="3" t="s">
        <v>1427</v>
      </c>
      <c r="E287" s="2" t="s">
        <v>1342</v>
      </c>
      <c r="F287" s="2" t="s">
        <v>1343</v>
      </c>
      <c r="G287" s="2" t="s">
        <v>1411</v>
      </c>
      <c r="H287" s="3" t="s">
        <v>1412</v>
      </c>
      <c r="I287" s="2" t="s">
        <v>1413</v>
      </c>
      <c r="J287" s="3" t="s">
        <v>1414</v>
      </c>
      <c r="K287" s="2" t="s">
        <v>1422</v>
      </c>
      <c r="L287" s="3" t="s">
        <v>1423</v>
      </c>
      <c r="N287" s="4" t="s">
        <v>38</v>
      </c>
      <c r="O287" s="4" t="s">
        <v>38</v>
      </c>
      <c r="Q287" s="4" t="s">
        <v>38</v>
      </c>
      <c r="R287" s="2" t="s">
        <v>1424</v>
      </c>
      <c r="S287" s="2" t="s">
        <v>40</v>
      </c>
      <c r="T287" s="3" t="s">
        <v>1425</v>
      </c>
      <c r="U287" s="2" t="s">
        <v>42</v>
      </c>
      <c r="V287" s="2" t="s">
        <v>43</v>
      </c>
      <c r="Y287" s="2" t="str">
        <f>VLOOKUP(C287,[1]Cat_Objetos!$C$4:$C$346,1,FALSE)</f>
        <v>Publicaciones electrónicas</v>
      </c>
    </row>
    <row r="288" spans="1:25" x14ac:dyDescent="0.4">
      <c r="A288" s="4">
        <f t="shared" si="4"/>
        <v>285</v>
      </c>
      <c r="B288" s="2" t="s">
        <v>1428</v>
      </c>
      <c r="C288" s="3" t="s">
        <v>1429</v>
      </c>
      <c r="E288" s="2" t="s">
        <v>1342</v>
      </c>
      <c r="F288" s="2" t="s">
        <v>1343</v>
      </c>
      <c r="G288" s="2" t="s">
        <v>1411</v>
      </c>
      <c r="H288" s="3" t="s">
        <v>1412</v>
      </c>
      <c r="I288" s="2" t="s">
        <v>1413</v>
      </c>
      <c r="J288" s="3" t="s">
        <v>1414</v>
      </c>
      <c r="K288" s="2" t="s">
        <v>1422</v>
      </c>
      <c r="L288" s="3" t="s">
        <v>1423</v>
      </c>
      <c r="N288" s="4" t="s">
        <v>38</v>
      </c>
      <c r="O288" s="4" t="s">
        <v>38</v>
      </c>
      <c r="Q288" s="4" t="s">
        <v>38</v>
      </c>
      <c r="R288" s="2" t="s">
        <v>1424</v>
      </c>
      <c r="S288" s="2" t="s">
        <v>40</v>
      </c>
      <c r="T288" s="3" t="s">
        <v>1425</v>
      </c>
      <c r="U288" s="2" t="s">
        <v>42</v>
      </c>
      <c r="V288" s="2" t="s">
        <v>43</v>
      </c>
      <c r="Y288" s="2" t="str">
        <f>VLOOKUP(C288,[1]Cat_Objetos!$C$4:$C$346,1,FALSE)</f>
        <v>Comunicados de prensa</v>
      </c>
    </row>
    <row r="289" spans="1:25" ht="29.15" x14ac:dyDescent="0.4">
      <c r="A289" s="4">
        <f t="shared" si="4"/>
        <v>286</v>
      </c>
      <c r="B289" s="2" t="s">
        <v>1430</v>
      </c>
      <c r="C289" s="3" t="s">
        <v>1431</v>
      </c>
      <c r="E289" s="2" t="s">
        <v>1342</v>
      </c>
      <c r="F289" s="2" t="s">
        <v>1343</v>
      </c>
      <c r="G289" s="2" t="s">
        <v>1411</v>
      </c>
      <c r="H289" s="3" t="s">
        <v>1412</v>
      </c>
      <c r="I289" s="2" t="s">
        <v>1413</v>
      </c>
      <c r="J289" s="3" t="s">
        <v>1414</v>
      </c>
      <c r="K289" s="2" t="s">
        <v>1432</v>
      </c>
      <c r="L289" s="3" t="s">
        <v>1433</v>
      </c>
      <c r="N289" s="4" t="s">
        <v>38</v>
      </c>
      <c r="O289" s="4" t="s">
        <v>38</v>
      </c>
      <c r="Q289" s="4" t="s">
        <v>38</v>
      </c>
      <c r="R289" s="2" t="s">
        <v>1434</v>
      </c>
      <c r="S289" s="2" t="s">
        <v>40</v>
      </c>
      <c r="T289" s="3" t="s">
        <v>95</v>
      </c>
      <c r="U289" s="2" t="s">
        <v>42</v>
      </c>
      <c r="V289" s="2" t="s">
        <v>43</v>
      </c>
      <c r="Y289" s="2" t="str">
        <f>VLOOKUP(C289,[1]Cat_Objetos!$C$4:$C$346,1,FALSE)</f>
        <v>Notificación de liberación de la información a publicar</v>
      </c>
    </row>
    <row r="290" spans="1:25" ht="29.15" x14ac:dyDescent="0.4">
      <c r="A290" s="4">
        <f t="shared" si="4"/>
        <v>287</v>
      </c>
      <c r="B290" s="2" t="s">
        <v>1435</v>
      </c>
      <c r="C290" s="3" t="s">
        <v>1436</v>
      </c>
      <c r="D290" s="2" t="s">
        <v>1437</v>
      </c>
      <c r="E290" s="2" t="s">
        <v>1342</v>
      </c>
      <c r="F290" s="2" t="s">
        <v>1343</v>
      </c>
      <c r="G290" s="2" t="s">
        <v>1411</v>
      </c>
      <c r="H290" s="3" t="s">
        <v>1412</v>
      </c>
      <c r="I290" s="2" t="s">
        <v>1413</v>
      </c>
      <c r="J290" s="3" t="s">
        <v>1414</v>
      </c>
      <c r="K290" s="2" t="s">
        <v>1432</v>
      </c>
      <c r="L290" s="3" t="s">
        <v>1433</v>
      </c>
      <c r="N290" s="4" t="s">
        <v>38</v>
      </c>
      <c r="O290" s="4" t="s">
        <v>38</v>
      </c>
      <c r="Q290" s="4" t="s">
        <v>38</v>
      </c>
      <c r="R290" s="2" t="s">
        <v>1438</v>
      </c>
      <c r="S290" s="2" t="s">
        <v>40</v>
      </c>
      <c r="T290" s="3" t="s">
        <v>76</v>
      </c>
      <c r="U290" s="2" t="s">
        <v>42</v>
      </c>
      <c r="V290" s="2" t="s">
        <v>43</v>
      </c>
      <c r="Y290" s="2" t="str">
        <f>VLOOKUP(C290,[1]Cat_Objetos!$C$4:$C$346,1,FALSE)</f>
        <v>Documento de análisis de la producción</v>
      </c>
    </row>
    <row r="291" spans="1:25" x14ac:dyDescent="0.4">
      <c r="A291" s="4">
        <f t="shared" si="4"/>
        <v>288</v>
      </c>
      <c r="B291" s="2" t="s">
        <v>1439</v>
      </c>
      <c r="C291" s="3" t="s">
        <v>1440</v>
      </c>
      <c r="D291" s="2" t="s">
        <v>1441</v>
      </c>
      <c r="E291" s="2" t="s">
        <v>1442</v>
      </c>
      <c r="F291" s="2" t="s">
        <v>1443</v>
      </c>
      <c r="G291" s="2">
        <v>7.1</v>
      </c>
      <c r="H291" s="3" t="s">
        <v>1444</v>
      </c>
      <c r="I291" s="2" t="s">
        <v>1445</v>
      </c>
      <c r="J291" s="3" t="s">
        <v>1446</v>
      </c>
      <c r="K291" s="2" t="s">
        <v>1447</v>
      </c>
      <c r="L291" s="3" t="s">
        <v>1448</v>
      </c>
      <c r="N291" s="4" t="s">
        <v>38</v>
      </c>
      <c r="O291" s="4" t="s">
        <v>38</v>
      </c>
      <c r="Q291" s="4" t="s">
        <v>38</v>
      </c>
      <c r="R291" s="2" t="s">
        <v>1449</v>
      </c>
      <c r="S291" s="2" t="s">
        <v>40</v>
      </c>
      <c r="T291" s="3" t="s">
        <v>299</v>
      </c>
      <c r="U291" s="2" t="s">
        <v>42</v>
      </c>
      <c r="V291" s="2" t="s">
        <v>43</v>
      </c>
      <c r="Y291" s="2" t="str">
        <f>VLOOKUP(C291,[1]Cat_Objetos!$C$4:$C$346,1,FALSE)</f>
        <v>Documentos metodológicos</v>
      </c>
    </row>
    <row r="292" spans="1:25" x14ac:dyDescent="0.4">
      <c r="A292" s="4">
        <f t="shared" si="4"/>
        <v>289</v>
      </c>
      <c r="B292" s="2" t="s">
        <v>1450</v>
      </c>
      <c r="C292" s="10" t="s">
        <v>1451</v>
      </c>
      <c r="D292" s="8"/>
      <c r="E292" s="2" t="s">
        <v>1442</v>
      </c>
      <c r="F292" s="2" t="s">
        <v>1443</v>
      </c>
      <c r="G292" s="2">
        <v>7.1</v>
      </c>
      <c r="H292" s="3" t="s">
        <v>1444</v>
      </c>
      <c r="I292" s="2" t="s">
        <v>1445</v>
      </c>
      <c r="J292" s="3" t="s">
        <v>1446</v>
      </c>
      <c r="K292" s="2" t="s">
        <v>1447</v>
      </c>
      <c r="L292" s="3" t="s">
        <v>1448</v>
      </c>
      <c r="N292" s="4" t="s">
        <v>38</v>
      </c>
      <c r="O292" s="4" t="s">
        <v>38</v>
      </c>
      <c r="Q292" s="4" t="s">
        <v>38</v>
      </c>
      <c r="R292" s="2" t="s">
        <v>1449</v>
      </c>
      <c r="S292" s="2" t="s">
        <v>40</v>
      </c>
      <c r="T292" s="3" t="s">
        <v>266</v>
      </c>
      <c r="U292" s="2" t="s">
        <v>42</v>
      </c>
      <c r="V292" s="2" t="s">
        <v>43</v>
      </c>
      <c r="Y292" s="2" t="e">
        <f>VLOOKUP(C292,[1]Cat_Objetos!$C$4:$C$346,1,FALSE)</f>
        <v>#N/A</v>
      </c>
    </row>
    <row r="293" spans="1:25" ht="29.15" x14ac:dyDescent="0.4">
      <c r="A293" s="4">
        <f t="shared" si="4"/>
        <v>290</v>
      </c>
      <c r="B293" s="2" t="s">
        <v>1452</v>
      </c>
      <c r="C293" s="3" t="s">
        <v>1453</v>
      </c>
      <c r="E293" s="2" t="s">
        <v>1442</v>
      </c>
      <c r="F293" s="2" t="s">
        <v>1443</v>
      </c>
      <c r="G293" s="2">
        <v>7.2</v>
      </c>
      <c r="H293" s="3" t="s">
        <v>1454</v>
      </c>
      <c r="I293" s="2" t="s">
        <v>1455</v>
      </c>
      <c r="J293" s="3" t="s">
        <v>1456</v>
      </c>
      <c r="K293" s="2" t="s">
        <v>1457</v>
      </c>
      <c r="L293" s="3" t="s">
        <v>1458</v>
      </c>
      <c r="N293" s="4" t="s">
        <v>38</v>
      </c>
      <c r="O293" s="4" t="s">
        <v>38</v>
      </c>
      <c r="Q293" s="4" t="s">
        <v>38</v>
      </c>
      <c r="R293" s="2" t="s">
        <v>1459</v>
      </c>
      <c r="S293" s="2" t="s">
        <v>40</v>
      </c>
      <c r="T293" s="3" t="s">
        <v>95</v>
      </c>
      <c r="U293" s="2" t="s">
        <v>42</v>
      </c>
      <c r="V293" s="2" t="s">
        <v>43</v>
      </c>
      <c r="Y293" s="2" t="str">
        <f>VLOOKUP(C293,[1]Cat_Objetos!$C$4:$C$346,1,FALSE)</f>
        <v>Reportes, acuses u oficios de entrega-recepción entre las UA productoras y la DGCSPIRI</v>
      </c>
    </row>
    <row r="294" spans="1:25" ht="29.15" x14ac:dyDescent="0.4">
      <c r="A294" s="4">
        <f t="shared" si="4"/>
        <v>291</v>
      </c>
      <c r="B294" s="2" t="s">
        <v>1460</v>
      </c>
      <c r="C294" s="3" t="s">
        <v>1461</v>
      </c>
      <c r="D294" s="2" t="s">
        <v>1462</v>
      </c>
      <c r="E294" s="2" t="s">
        <v>1442</v>
      </c>
      <c r="F294" s="2" t="s">
        <v>1443</v>
      </c>
      <c r="G294" s="2">
        <v>7.2</v>
      </c>
      <c r="H294" s="3" t="s">
        <v>1454</v>
      </c>
      <c r="I294" s="2" t="s">
        <v>1455</v>
      </c>
      <c r="J294" s="3" t="s">
        <v>1456</v>
      </c>
      <c r="K294" s="2" t="s">
        <v>1463</v>
      </c>
      <c r="L294" s="3" t="s">
        <v>1464</v>
      </c>
      <c r="N294" s="4" t="s">
        <v>38</v>
      </c>
      <c r="O294" s="4" t="s">
        <v>38</v>
      </c>
      <c r="Q294" s="4" t="s">
        <v>38</v>
      </c>
      <c r="R294" s="2" t="s">
        <v>1465</v>
      </c>
      <c r="S294" s="2" t="s">
        <v>40</v>
      </c>
      <c r="T294" s="3" t="s">
        <v>1280</v>
      </c>
      <c r="U294" s="2" t="s">
        <v>42</v>
      </c>
      <c r="V294" s="2" t="s">
        <v>43</v>
      </c>
      <c r="Y294" s="2" t="str">
        <f>VLOOKUP(C294,[1]Cat_Objetos!$C$4:$C$346,1,FALSE)</f>
        <v>Imagen de productos, presentaciones publicadas, metadatos y documentos asociados</v>
      </c>
    </row>
    <row r="295" spans="1:25" ht="29.15" x14ac:dyDescent="0.4">
      <c r="A295" s="4">
        <f t="shared" si="4"/>
        <v>292</v>
      </c>
      <c r="B295" s="2" t="s">
        <v>1466</v>
      </c>
      <c r="C295" s="3" t="s">
        <v>1467</v>
      </c>
      <c r="D295" s="2" t="s">
        <v>1468</v>
      </c>
      <c r="E295" s="2" t="s">
        <v>1442</v>
      </c>
      <c r="F295" s="2" t="s">
        <v>1443</v>
      </c>
      <c r="G295" s="2">
        <v>7.2</v>
      </c>
      <c r="H295" s="3" t="s">
        <v>1454</v>
      </c>
      <c r="I295" s="2" t="s">
        <v>1455</v>
      </c>
      <c r="J295" s="3" t="s">
        <v>1456</v>
      </c>
      <c r="K295" s="2" t="s">
        <v>1469</v>
      </c>
      <c r="L295" s="3" t="s">
        <v>1470</v>
      </c>
      <c r="N295" s="4" t="s">
        <v>38</v>
      </c>
      <c r="O295" s="4" t="s">
        <v>38</v>
      </c>
      <c r="Q295" s="4" t="s">
        <v>38</v>
      </c>
      <c r="R295" s="2" t="s">
        <v>1471</v>
      </c>
      <c r="S295" s="2" t="s">
        <v>40</v>
      </c>
      <c r="T295" s="3" t="s">
        <v>1280</v>
      </c>
      <c r="U295" s="2" t="s">
        <v>42</v>
      </c>
      <c r="V295" s="2" t="s">
        <v>43</v>
      </c>
      <c r="Y295" s="2" t="str">
        <f>VLOOKUP(C295,[1]Cat_Objetos!$C$4:$C$346,1,FALSE)</f>
        <v>Información de Interés Nacional publicada en el Sitio del SNIEG (Vínculos al sitio del INEGI)</v>
      </c>
    </row>
    <row r="296" spans="1:25" ht="29.15" x14ac:dyDescent="0.4">
      <c r="A296" s="4">
        <f t="shared" si="4"/>
        <v>293</v>
      </c>
      <c r="B296" s="2" t="s">
        <v>1472</v>
      </c>
      <c r="C296" s="3" t="s">
        <v>1473</v>
      </c>
      <c r="D296" s="8"/>
      <c r="E296" s="2" t="s">
        <v>1442</v>
      </c>
      <c r="F296" s="2" t="s">
        <v>1443</v>
      </c>
      <c r="G296" s="2">
        <v>7.3</v>
      </c>
      <c r="H296" s="3" t="s">
        <v>1474</v>
      </c>
      <c r="I296" s="2" t="s">
        <v>1475</v>
      </c>
      <c r="J296" s="3" t="s">
        <v>1476</v>
      </c>
      <c r="K296" s="2" t="s">
        <v>1477</v>
      </c>
      <c r="L296" s="3" t="s">
        <v>1478</v>
      </c>
      <c r="N296" s="4" t="s">
        <v>38</v>
      </c>
      <c r="O296" s="4" t="s">
        <v>38</v>
      </c>
      <c r="Q296" s="4" t="s">
        <v>38</v>
      </c>
      <c r="R296" s="2" t="s">
        <v>1479</v>
      </c>
      <c r="S296" s="2" t="s">
        <v>40</v>
      </c>
      <c r="T296" s="3" t="s">
        <v>95</v>
      </c>
      <c r="U296" s="2" t="s">
        <v>42</v>
      </c>
      <c r="V296" s="2" t="s">
        <v>43</v>
      </c>
      <c r="Y296" s="2" t="str">
        <f>VLOOKUP(C296,[1]Cat_Objetos!$C$4:$C$346,1,FALSE)</f>
        <v>Reporte o informe de promoción</v>
      </c>
    </row>
    <row r="297" spans="1:25" ht="29.15" x14ac:dyDescent="0.4">
      <c r="A297" s="4">
        <f t="shared" si="4"/>
        <v>294</v>
      </c>
      <c r="B297" s="2" t="s">
        <v>1480</v>
      </c>
      <c r="C297" s="3" t="s">
        <v>1481</v>
      </c>
      <c r="D297" s="8"/>
      <c r="E297" s="2" t="s">
        <v>1442</v>
      </c>
      <c r="F297" s="2" t="s">
        <v>1443</v>
      </c>
      <c r="G297" s="2">
        <v>7.3</v>
      </c>
      <c r="H297" s="3" t="s">
        <v>1474</v>
      </c>
      <c r="I297" s="2" t="s">
        <v>1475</v>
      </c>
      <c r="J297" s="3" t="s">
        <v>1476</v>
      </c>
      <c r="K297" s="2" t="s">
        <v>1477</v>
      </c>
      <c r="L297" s="3" t="s">
        <v>1478</v>
      </c>
      <c r="N297" s="4" t="s">
        <v>38</v>
      </c>
      <c r="O297" s="4" t="s">
        <v>38</v>
      </c>
      <c r="Q297" s="4" t="s">
        <v>38</v>
      </c>
      <c r="R297" s="2" t="s">
        <v>1482</v>
      </c>
      <c r="S297" s="2" t="s">
        <v>40</v>
      </c>
      <c r="T297" s="3" t="s">
        <v>1483</v>
      </c>
      <c r="U297" s="2" t="s">
        <v>42</v>
      </c>
      <c r="V297" s="2" t="s">
        <v>43</v>
      </c>
      <c r="Y297" s="2" t="str">
        <f>VLOOKUP(C297,[1]Cat_Objetos!$C$4:$C$346,1,FALSE)</f>
        <v>Recursos de promoción difundidos (folletos, infografías, productos de comunicación)</v>
      </c>
    </row>
    <row r="298" spans="1:25" ht="29.15" x14ac:dyDescent="0.4">
      <c r="A298" s="4">
        <f t="shared" si="4"/>
        <v>295</v>
      </c>
      <c r="B298" s="2" t="s">
        <v>1484</v>
      </c>
      <c r="C298" s="3" t="s">
        <v>1485</v>
      </c>
      <c r="D298" s="8"/>
      <c r="E298" s="2" t="s">
        <v>1442</v>
      </c>
      <c r="F298" s="2" t="s">
        <v>1443</v>
      </c>
      <c r="G298" s="2">
        <v>7.4</v>
      </c>
      <c r="H298" s="3" t="s">
        <v>1486</v>
      </c>
      <c r="I298" s="2" t="s">
        <v>1487</v>
      </c>
      <c r="J298" s="3" t="s">
        <v>1488</v>
      </c>
      <c r="K298" s="2" t="s">
        <v>1489</v>
      </c>
      <c r="L298" s="3" t="s">
        <v>1490</v>
      </c>
      <c r="N298" s="4" t="s">
        <v>38</v>
      </c>
      <c r="O298" s="4" t="s">
        <v>38</v>
      </c>
      <c r="Q298" s="4" t="s">
        <v>38</v>
      </c>
      <c r="R298" s="2" t="s">
        <v>1491</v>
      </c>
      <c r="S298" s="2" t="s">
        <v>40</v>
      </c>
      <c r="T298" s="3" t="s">
        <v>95</v>
      </c>
      <c r="U298" s="2" t="s">
        <v>42</v>
      </c>
      <c r="V298" s="2" t="s">
        <v>43</v>
      </c>
      <c r="Y298" s="2" t="str">
        <f>VLOOKUP(C298,[1]Cat_Objetos!$C$4:$C$346,1,FALSE)</f>
        <v>Registro de atención de solicitudes de acceso a la información y procesamiento adicional de datos</v>
      </c>
    </row>
    <row r="299" spans="1:25" x14ac:dyDescent="0.4">
      <c r="A299" s="4">
        <f t="shared" si="4"/>
        <v>296</v>
      </c>
      <c r="B299" s="2" t="s">
        <v>1492</v>
      </c>
      <c r="C299" s="3" t="s">
        <v>1493</v>
      </c>
      <c r="E299" s="2" t="s">
        <v>1494</v>
      </c>
      <c r="F299" s="2" t="s">
        <v>1495</v>
      </c>
      <c r="G299" s="2">
        <v>8.1</v>
      </c>
      <c r="H299" s="3" t="s">
        <v>1496</v>
      </c>
      <c r="I299" s="2" t="s">
        <v>1497</v>
      </c>
      <c r="J299" s="3" t="s">
        <v>1498</v>
      </c>
      <c r="K299" s="2" t="s">
        <v>1499</v>
      </c>
      <c r="L299" s="3" t="s">
        <v>1500</v>
      </c>
      <c r="N299" s="4" t="s">
        <v>38</v>
      </c>
      <c r="O299" s="4" t="s">
        <v>38</v>
      </c>
      <c r="Q299" s="4" t="s">
        <v>38</v>
      </c>
      <c r="R299" s="2" t="s">
        <v>1501</v>
      </c>
      <c r="S299" s="2" t="s">
        <v>40</v>
      </c>
      <c r="T299" s="3" t="s">
        <v>1502</v>
      </c>
      <c r="U299" s="2" t="s">
        <v>42</v>
      </c>
      <c r="V299" s="2" t="s">
        <v>43</v>
      </c>
      <c r="Y299" s="2" t="str">
        <f>VLOOKUP(C299,[1]Cat_Objetos!$C$4:$C$346,1,FALSE)</f>
        <v>Insumos para la evaluación del proceso</v>
      </c>
    </row>
    <row r="300" spans="1:25" ht="29.15" x14ac:dyDescent="0.4">
      <c r="A300" s="4">
        <f t="shared" si="4"/>
        <v>297</v>
      </c>
      <c r="B300" s="2" t="s">
        <v>1503</v>
      </c>
      <c r="C300" s="3" t="s">
        <v>1504</v>
      </c>
      <c r="E300" s="2" t="s">
        <v>1494</v>
      </c>
      <c r="F300" s="2" t="s">
        <v>1495</v>
      </c>
      <c r="G300" s="2">
        <v>8.1999999999999993</v>
      </c>
      <c r="H300" s="3" t="s">
        <v>1505</v>
      </c>
      <c r="I300" s="2" t="s">
        <v>1506</v>
      </c>
      <c r="J300" s="3" t="s">
        <v>1507</v>
      </c>
      <c r="K300" s="2" t="s">
        <v>1508</v>
      </c>
      <c r="L300" s="3" t="s">
        <v>1509</v>
      </c>
      <c r="N300" s="4" t="s">
        <v>38</v>
      </c>
      <c r="O300" s="4" t="s">
        <v>38</v>
      </c>
      <c r="Q300" s="4" t="s">
        <v>38</v>
      </c>
      <c r="R300" s="2" t="s">
        <v>1510</v>
      </c>
      <c r="S300" s="2" t="s">
        <v>40</v>
      </c>
      <c r="T300" s="3" t="s">
        <v>76</v>
      </c>
      <c r="U300" s="2" t="s">
        <v>42</v>
      </c>
      <c r="V300" s="2" t="s">
        <v>43</v>
      </c>
      <c r="Y300" s="2" t="str">
        <f>VLOOKUP(C300,[1]Cat_Objetos!$C$4:$C$346,1,FALSE)</f>
        <v>Reporte de evaluación del proceso</v>
      </c>
    </row>
    <row r="301" spans="1:25" ht="29.15" x14ac:dyDescent="0.4">
      <c r="A301" s="4">
        <f t="shared" si="4"/>
        <v>298</v>
      </c>
      <c r="B301" s="2" t="s">
        <v>1511</v>
      </c>
      <c r="C301" s="3" t="s">
        <v>1512</v>
      </c>
      <c r="D301" s="2" t="s">
        <v>1513</v>
      </c>
      <c r="E301" s="2" t="s">
        <v>1494</v>
      </c>
      <c r="F301" s="2" t="s">
        <v>1495</v>
      </c>
      <c r="G301" s="2">
        <v>8.3000000000000007</v>
      </c>
      <c r="H301" s="3" t="s">
        <v>1514</v>
      </c>
      <c r="I301" s="2" t="s">
        <v>1515</v>
      </c>
      <c r="J301" s="3" t="s">
        <v>1516</v>
      </c>
      <c r="K301" s="2" t="s">
        <v>1517</v>
      </c>
      <c r="L301" s="3" t="s">
        <v>1518</v>
      </c>
      <c r="N301" s="4" t="s">
        <v>38</v>
      </c>
      <c r="O301" s="4" t="s">
        <v>38</v>
      </c>
      <c r="Q301" s="4" t="s">
        <v>38</v>
      </c>
      <c r="R301" s="2" t="s">
        <v>1519</v>
      </c>
      <c r="S301" s="2" t="s">
        <v>40</v>
      </c>
      <c r="T301" s="3" t="s">
        <v>76</v>
      </c>
      <c r="U301" s="2" t="s">
        <v>42</v>
      </c>
      <c r="V301" s="2" t="s">
        <v>43</v>
      </c>
      <c r="Y301" s="2" t="str">
        <f>VLOOKUP(C301,[1]Cat_Objetos!$C$4:$C$346,1,FALSE)</f>
        <v>Plan de acción</v>
      </c>
    </row>
    <row r="302" spans="1:25" ht="29.15" x14ac:dyDescent="0.4">
      <c r="A302" s="4">
        <f>A301+1</f>
        <v>299</v>
      </c>
      <c r="B302" s="2">
        <v>0.01</v>
      </c>
      <c r="C302" s="3" t="s">
        <v>1520</v>
      </c>
      <c r="D302" s="2" t="s">
        <v>1521</v>
      </c>
      <c r="E302" s="2" t="s">
        <v>30</v>
      </c>
      <c r="F302" s="3" t="s">
        <v>31</v>
      </c>
      <c r="G302" s="2" t="s">
        <v>32</v>
      </c>
      <c r="H302" s="3" t="s">
        <v>33</v>
      </c>
      <c r="I302" s="2" t="s">
        <v>34</v>
      </c>
      <c r="J302" s="3" t="s">
        <v>35</v>
      </c>
      <c r="K302" s="2" t="s">
        <v>36</v>
      </c>
      <c r="L302" s="3" t="s">
        <v>37</v>
      </c>
      <c r="N302" s="4" t="s">
        <v>38</v>
      </c>
      <c r="O302" s="4" t="s">
        <v>38</v>
      </c>
      <c r="Q302" s="4" t="s">
        <v>38</v>
      </c>
      <c r="R302" s="2" t="s">
        <v>1522</v>
      </c>
      <c r="S302" s="2" t="s">
        <v>40</v>
      </c>
      <c r="T302" s="3" t="s">
        <v>1523</v>
      </c>
      <c r="U302" s="2" t="s">
        <v>1524</v>
      </c>
      <c r="V302" s="2" t="s">
        <v>43</v>
      </c>
      <c r="Y302" s="2" t="str">
        <f>VLOOKUP(C302,[1]Cat_Objetos!$C$4:$C$346,1,FALSE)</f>
        <v>Requerimientos de información</v>
      </c>
    </row>
    <row r="303" spans="1:25" ht="29.15" x14ac:dyDescent="0.4">
      <c r="A303" s="4">
        <f>A302+1</f>
        <v>300</v>
      </c>
      <c r="B303" s="2">
        <v>0.02</v>
      </c>
      <c r="C303" s="3" t="s">
        <v>1525</v>
      </c>
      <c r="E303" s="2" t="s">
        <v>30</v>
      </c>
      <c r="F303" s="3" t="s">
        <v>31</v>
      </c>
      <c r="G303" s="2" t="s">
        <v>32</v>
      </c>
      <c r="H303" s="3" t="s">
        <v>33</v>
      </c>
      <c r="I303" s="2" t="s">
        <v>34</v>
      </c>
      <c r="J303" s="3" t="s">
        <v>35</v>
      </c>
      <c r="K303" s="2" t="s">
        <v>36</v>
      </c>
      <c r="L303" s="3" t="s">
        <v>37</v>
      </c>
      <c r="N303" s="4" t="s">
        <v>38</v>
      </c>
      <c r="O303" s="4" t="s">
        <v>38</v>
      </c>
      <c r="Q303" s="4" t="s">
        <v>38</v>
      </c>
      <c r="R303" s="2" t="s">
        <v>1522</v>
      </c>
      <c r="S303" s="2" t="s">
        <v>40</v>
      </c>
      <c r="T303" s="3" t="s">
        <v>1523</v>
      </c>
      <c r="U303" s="2" t="s">
        <v>1524</v>
      </c>
      <c r="V303" s="2" t="s">
        <v>43</v>
      </c>
      <c r="Y303" s="2" t="str">
        <f>VLOOKUP(C303,[1]Cat_Objetos!$C$4:$C$346,1,FALSE)</f>
        <v>Recomendaciones internacionales</v>
      </c>
    </row>
    <row r="304" spans="1:25" ht="29.15" x14ac:dyDescent="0.4">
      <c r="A304" s="4">
        <f t="shared" ref="A304:A345" si="5">A303+1</f>
        <v>301</v>
      </c>
      <c r="B304" s="2">
        <v>0.03</v>
      </c>
      <c r="C304" s="3" t="s">
        <v>1526</v>
      </c>
      <c r="E304" s="2" t="s">
        <v>30</v>
      </c>
      <c r="F304" s="3" t="s">
        <v>31</v>
      </c>
      <c r="G304" s="2" t="s">
        <v>32</v>
      </c>
      <c r="H304" s="3" t="s">
        <v>33</v>
      </c>
      <c r="I304" s="2" t="s">
        <v>34</v>
      </c>
      <c r="J304" s="3" t="s">
        <v>35</v>
      </c>
      <c r="K304" s="2" t="s">
        <v>36</v>
      </c>
      <c r="L304" s="3" t="s">
        <v>37</v>
      </c>
      <c r="N304" s="4" t="s">
        <v>38</v>
      </c>
      <c r="O304" s="4" t="s">
        <v>38</v>
      </c>
      <c r="Q304" s="4" t="s">
        <v>38</v>
      </c>
      <c r="R304" s="2" t="s">
        <v>1522</v>
      </c>
      <c r="S304" s="2" t="s">
        <v>40</v>
      </c>
      <c r="T304" s="3" t="s">
        <v>1527</v>
      </c>
      <c r="U304" s="2" t="s">
        <v>1524</v>
      </c>
      <c r="V304" s="2" t="s">
        <v>43</v>
      </c>
      <c r="Y304" s="2" t="str">
        <f>VLOOKUP(C304,[1]Cat_Objetos!$C$4:$C$346,1,FALSE)</f>
        <v>Documentación de cambios en el entorno</v>
      </c>
    </row>
    <row r="305" spans="1:25" x14ac:dyDescent="0.4">
      <c r="A305" s="4">
        <f t="shared" si="5"/>
        <v>302</v>
      </c>
      <c r="B305" s="2">
        <v>0.04</v>
      </c>
      <c r="C305" s="3" t="s">
        <v>1528</v>
      </c>
      <c r="E305" s="2" t="s">
        <v>30</v>
      </c>
      <c r="F305" s="3" t="s">
        <v>31</v>
      </c>
      <c r="G305" s="2" t="s">
        <v>32</v>
      </c>
      <c r="H305" s="3" t="s">
        <v>33</v>
      </c>
      <c r="I305" s="2" t="s">
        <v>71</v>
      </c>
      <c r="J305" s="3" t="s">
        <v>72</v>
      </c>
      <c r="K305" s="2" t="s">
        <v>1529</v>
      </c>
      <c r="L305" s="3" t="s">
        <v>1530</v>
      </c>
      <c r="N305" s="4" t="s">
        <v>38</v>
      </c>
      <c r="O305" s="4" t="s">
        <v>38</v>
      </c>
      <c r="Q305" s="4" t="s">
        <v>38</v>
      </c>
      <c r="R305" s="2" t="s">
        <v>48</v>
      </c>
      <c r="S305" s="2" t="s">
        <v>40</v>
      </c>
      <c r="T305" s="3" t="s">
        <v>49</v>
      </c>
      <c r="U305" s="2" t="s">
        <v>1524</v>
      </c>
      <c r="V305" s="2" t="s">
        <v>43</v>
      </c>
      <c r="Y305" s="2" t="str">
        <f>VLOOKUP(C305,[1]Cat_Objetos!$C$4:$C$346,1,FALSE)</f>
        <v>Disposiciones legales y administrativas de acceso a los datos</v>
      </c>
    </row>
    <row r="306" spans="1:25" x14ac:dyDescent="0.4">
      <c r="A306" s="4">
        <f t="shared" si="5"/>
        <v>303</v>
      </c>
      <c r="B306" s="2">
        <v>0.05</v>
      </c>
      <c r="C306" s="3" t="s">
        <v>1531</v>
      </c>
      <c r="E306" s="2" t="s">
        <v>30</v>
      </c>
      <c r="F306" s="3" t="s">
        <v>31</v>
      </c>
      <c r="G306" s="2" t="s">
        <v>32</v>
      </c>
      <c r="H306" s="3" t="s">
        <v>33</v>
      </c>
      <c r="I306" s="2" t="s">
        <v>71</v>
      </c>
      <c r="J306" s="3" t="s">
        <v>72</v>
      </c>
      <c r="K306" s="2" t="s">
        <v>73</v>
      </c>
      <c r="L306" s="3" t="s">
        <v>74</v>
      </c>
      <c r="N306" s="4" t="s">
        <v>38</v>
      </c>
      <c r="O306" s="4" t="s">
        <v>38</v>
      </c>
      <c r="Q306" s="4" t="s">
        <v>38</v>
      </c>
      <c r="R306" s="2" t="s">
        <v>1532</v>
      </c>
      <c r="S306" s="2" t="s">
        <v>40</v>
      </c>
      <c r="T306" s="3" t="s">
        <v>266</v>
      </c>
      <c r="U306" s="2" t="s">
        <v>1524</v>
      </c>
      <c r="V306" s="2" t="s">
        <v>43</v>
      </c>
      <c r="Y306" s="2" t="str">
        <f>VLOOKUP(C306,[1]Cat_Objetos!$C$4:$C$346,1,FALSE)</f>
        <v>Inventario de Programas de Información</v>
      </c>
    </row>
    <row r="307" spans="1:25" x14ac:dyDescent="0.4">
      <c r="A307" s="4">
        <f t="shared" si="5"/>
        <v>304</v>
      </c>
      <c r="B307" s="2">
        <v>6.0000000000000005E-2</v>
      </c>
      <c r="C307" s="3" t="s">
        <v>1533</v>
      </c>
      <c r="E307" s="2" t="s">
        <v>30</v>
      </c>
      <c r="F307" s="3" t="s">
        <v>31</v>
      </c>
      <c r="G307" s="2" t="s">
        <v>32</v>
      </c>
      <c r="H307" s="3" t="s">
        <v>33</v>
      </c>
      <c r="I307" s="2" t="s">
        <v>34</v>
      </c>
      <c r="J307" s="3" t="s">
        <v>35</v>
      </c>
      <c r="K307" s="2" t="s">
        <v>46</v>
      </c>
      <c r="L307" s="3" t="s">
        <v>47</v>
      </c>
      <c r="N307" s="4" t="s">
        <v>38</v>
      </c>
      <c r="O307" s="4" t="s">
        <v>38</v>
      </c>
      <c r="Q307" s="4" t="s">
        <v>38</v>
      </c>
      <c r="R307" s="2" t="s">
        <v>48</v>
      </c>
      <c r="S307" s="2" t="s">
        <v>40</v>
      </c>
      <c r="T307" s="3" t="s">
        <v>49</v>
      </c>
      <c r="U307" s="2" t="s">
        <v>1524</v>
      </c>
      <c r="V307" s="2" t="s">
        <v>43</v>
      </c>
      <c r="Y307" s="2" t="str">
        <f>VLOOKUP(C307,[1]Cat_Objetos!$C$4:$C$346,1,FALSE)</f>
        <v>Normateca</v>
      </c>
    </row>
    <row r="308" spans="1:25" x14ac:dyDescent="0.4">
      <c r="A308" s="4">
        <f t="shared" si="5"/>
        <v>305</v>
      </c>
      <c r="B308" s="2">
        <v>7.0000000000000007E-2</v>
      </c>
      <c r="C308" s="3" t="s">
        <v>1534</v>
      </c>
      <c r="E308" s="2" t="s">
        <v>30</v>
      </c>
      <c r="F308" s="3" t="s">
        <v>31</v>
      </c>
      <c r="G308" s="2" t="s">
        <v>32</v>
      </c>
      <c r="H308" s="3" t="s">
        <v>33</v>
      </c>
      <c r="I308" s="2" t="s">
        <v>34</v>
      </c>
      <c r="J308" s="3" t="s">
        <v>35</v>
      </c>
      <c r="K308" s="2" t="s">
        <v>46</v>
      </c>
      <c r="L308" s="3" t="s">
        <v>47</v>
      </c>
      <c r="N308" s="4" t="s">
        <v>38</v>
      </c>
      <c r="O308" s="4" t="s">
        <v>38</v>
      </c>
      <c r="Q308" s="4" t="s">
        <v>38</v>
      </c>
      <c r="R308" s="2" t="s">
        <v>48</v>
      </c>
      <c r="S308" s="2" t="s">
        <v>40</v>
      </c>
      <c r="T308" s="3" t="s">
        <v>49</v>
      </c>
      <c r="U308" s="2" t="s">
        <v>1524</v>
      </c>
      <c r="V308" s="2" t="s">
        <v>43</v>
      </c>
      <c r="Y308" s="2" t="str">
        <f>VLOOKUP(C308,[1]Cat_Objetos!$C$4:$C$346,1,FALSE)</f>
        <v>Sistema de compilación normativa del SNIEG</v>
      </c>
    </row>
    <row r="309" spans="1:25" x14ac:dyDescent="0.4">
      <c r="A309" s="4">
        <f t="shared" si="5"/>
        <v>306</v>
      </c>
      <c r="B309" s="2">
        <v>0.08</v>
      </c>
      <c r="C309" s="3" t="s">
        <v>1535</v>
      </c>
      <c r="E309" s="2" t="s">
        <v>30</v>
      </c>
      <c r="F309" s="3" t="s">
        <v>31</v>
      </c>
      <c r="G309" s="2" t="s">
        <v>88</v>
      </c>
      <c r="H309" s="3" t="s">
        <v>89</v>
      </c>
      <c r="I309" s="2" t="s">
        <v>90</v>
      </c>
      <c r="J309" s="3" t="s">
        <v>91</v>
      </c>
      <c r="K309" s="2" t="s">
        <v>109</v>
      </c>
      <c r="L309" s="3" t="s">
        <v>110</v>
      </c>
      <c r="N309" s="4" t="s">
        <v>38</v>
      </c>
      <c r="O309" s="4" t="s">
        <v>38</v>
      </c>
      <c r="Q309" s="4" t="s">
        <v>38</v>
      </c>
      <c r="R309" s="2" t="s">
        <v>106</v>
      </c>
      <c r="S309" s="2" t="s">
        <v>40</v>
      </c>
      <c r="T309" s="3" t="s">
        <v>95</v>
      </c>
      <c r="U309" s="2" t="s">
        <v>1524</v>
      </c>
      <c r="V309" s="2" t="s">
        <v>43</v>
      </c>
      <c r="Y309" s="2" t="str">
        <f>VLOOKUP(C309,[1]Cat_Objetos!$C$4:$C$346,1,FALSE)</f>
        <v>Recursos materiales disponibles (SIA)</v>
      </c>
    </row>
    <row r="310" spans="1:25" ht="29.15" x14ac:dyDescent="0.4">
      <c r="A310" s="4">
        <f t="shared" si="5"/>
        <v>307</v>
      </c>
      <c r="B310" s="12">
        <v>0.09</v>
      </c>
      <c r="C310" s="3" t="s">
        <v>1536</v>
      </c>
      <c r="E310" s="2" t="s">
        <v>186</v>
      </c>
      <c r="F310" s="3" t="s">
        <v>187</v>
      </c>
      <c r="G310" s="2" t="s">
        <v>188</v>
      </c>
      <c r="H310" s="3" t="s">
        <v>189</v>
      </c>
      <c r="I310" s="2" t="s">
        <v>190</v>
      </c>
      <c r="J310" s="3" t="s">
        <v>191</v>
      </c>
      <c r="K310" s="2" t="s">
        <v>203</v>
      </c>
      <c r="L310" s="3" t="s">
        <v>204</v>
      </c>
      <c r="N310" s="4" t="s">
        <v>38</v>
      </c>
      <c r="O310" s="4" t="s">
        <v>38</v>
      </c>
      <c r="Q310" s="4" t="s">
        <v>38</v>
      </c>
      <c r="R310" s="2" t="s">
        <v>1537</v>
      </c>
      <c r="S310" s="2" t="s">
        <v>40</v>
      </c>
      <c r="T310" s="3" t="s">
        <v>49</v>
      </c>
      <c r="U310" s="2" t="s">
        <v>1524</v>
      </c>
      <c r="V310" s="2" t="s">
        <v>43</v>
      </c>
      <c r="Y310" s="2" t="str">
        <f>VLOOKUP(C310,[1]Cat_Objetos!$C$4:$C$346,1,FALSE)</f>
        <v>Sitio de publicaciones del INEGI</v>
      </c>
    </row>
    <row r="311" spans="1:25" ht="29.15" x14ac:dyDescent="0.4">
      <c r="A311" s="4">
        <f t="shared" si="5"/>
        <v>308</v>
      </c>
      <c r="B311" s="12">
        <v>9.9999999999999992E-2</v>
      </c>
      <c r="C311" s="3" t="s">
        <v>1538</v>
      </c>
      <c r="E311" s="2" t="s">
        <v>186</v>
      </c>
      <c r="F311" s="3" t="s">
        <v>187</v>
      </c>
      <c r="G311" s="2" t="s">
        <v>188</v>
      </c>
      <c r="H311" s="3" t="s">
        <v>189</v>
      </c>
      <c r="I311" s="2" t="s">
        <v>190</v>
      </c>
      <c r="J311" s="3" t="s">
        <v>191</v>
      </c>
      <c r="K311" s="2" t="s">
        <v>203</v>
      </c>
      <c r="L311" s="3" t="s">
        <v>204</v>
      </c>
      <c r="N311" s="4" t="s">
        <v>38</v>
      </c>
      <c r="O311" s="4" t="s">
        <v>38</v>
      </c>
      <c r="Q311" s="4" t="s">
        <v>38</v>
      </c>
      <c r="R311" s="2" t="s">
        <v>1539</v>
      </c>
      <c r="S311" s="2" t="s">
        <v>40</v>
      </c>
      <c r="T311" s="3" t="s">
        <v>441</v>
      </c>
      <c r="U311" s="2" t="s">
        <v>1524</v>
      </c>
      <c r="V311" s="2" t="s">
        <v>43</v>
      </c>
      <c r="Y311" s="2" t="str">
        <f>VLOOKUP(C311,[1]Cat_Objetos!$C$4:$C$346,1,FALSE)</f>
        <v>Convenios de colaboración</v>
      </c>
    </row>
    <row r="312" spans="1:25" ht="29.15" x14ac:dyDescent="0.4">
      <c r="A312" s="4">
        <f t="shared" si="5"/>
        <v>309</v>
      </c>
      <c r="B312" s="12">
        <v>0.10999999999999999</v>
      </c>
      <c r="C312" s="3" t="s">
        <v>1540</v>
      </c>
      <c r="E312" s="2" t="s">
        <v>186</v>
      </c>
      <c r="F312" s="3" t="s">
        <v>187</v>
      </c>
      <c r="G312" s="2" t="s">
        <v>188</v>
      </c>
      <c r="H312" s="3" t="s">
        <v>189</v>
      </c>
      <c r="I312" s="2" t="s">
        <v>235</v>
      </c>
      <c r="J312" s="3" t="s">
        <v>236</v>
      </c>
      <c r="K312" s="2" t="s">
        <v>237</v>
      </c>
      <c r="L312" s="3" t="s">
        <v>238</v>
      </c>
      <c r="N312" s="4" t="s">
        <v>38</v>
      </c>
      <c r="O312" s="4" t="s">
        <v>38</v>
      </c>
      <c r="Q312" s="4" t="s">
        <v>38</v>
      </c>
      <c r="R312" s="2" t="s">
        <v>239</v>
      </c>
      <c r="S312" s="2" t="s">
        <v>40</v>
      </c>
      <c r="T312" s="3" t="s">
        <v>49</v>
      </c>
      <c r="U312" s="2" t="s">
        <v>1524</v>
      </c>
      <c r="V312" s="2" t="s">
        <v>43</v>
      </c>
      <c r="Y312" s="2" t="str">
        <f>VLOOKUP(C312,[1]Cat_Objetos!$C$4:$C$346,1,FALSE)</f>
        <v>Listado de infraestructura de información</v>
      </c>
    </row>
    <row r="313" spans="1:25" ht="29.15" x14ac:dyDescent="0.4">
      <c r="A313" s="4">
        <f t="shared" si="5"/>
        <v>310</v>
      </c>
      <c r="B313" s="12">
        <v>0.11999999999999998</v>
      </c>
      <c r="C313" s="3" t="s">
        <v>1541</v>
      </c>
      <c r="E313" s="2" t="s">
        <v>186</v>
      </c>
      <c r="F313" s="3" t="s">
        <v>187</v>
      </c>
      <c r="G313" s="2" t="s">
        <v>188</v>
      </c>
      <c r="H313" s="3" t="s">
        <v>189</v>
      </c>
      <c r="I313" s="2" t="s">
        <v>235</v>
      </c>
      <c r="J313" s="3" t="s">
        <v>236</v>
      </c>
      <c r="K313" s="2" t="s">
        <v>243</v>
      </c>
      <c r="L313" s="3" t="s">
        <v>244</v>
      </c>
      <c r="N313" s="4" t="s">
        <v>311</v>
      </c>
      <c r="O313" s="4" t="s">
        <v>38</v>
      </c>
      <c r="Q313" s="4" t="s">
        <v>311</v>
      </c>
      <c r="R313" s="2" t="s">
        <v>1542</v>
      </c>
      <c r="S313" s="2" t="s">
        <v>40</v>
      </c>
      <c r="T313" s="3" t="s">
        <v>49</v>
      </c>
      <c r="U313" s="2" t="s">
        <v>1524</v>
      </c>
      <c r="V313" s="2" t="s">
        <v>43</v>
      </c>
      <c r="Y313" s="2" t="str">
        <f>VLOOKUP(C313,[1]Cat_Objetos!$C$4:$C$346,1,FALSE)</f>
        <v>Guía de diseño conceptual para encuestas</v>
      </c>
    </row>
    <row r="314" spans="1:25" x14ac:dyDescent="0.4">
      <c r="A314" s="4">
        <f t="shared" si="5"/>
        <v>311</v>
      </c>
      <c r="B314" s="12">
        <v>0.12999999999999998</v>
      </c>
      <c r="C314" s="3" t="s">
        <v>1543</v>
      </c>
      <c r="E314" s="2" t="s">
        <v>186</v>
      </c>
      <c r="F314" s="3" t="s">
        <v>187</v>
      </c>
      <c r="G314" s="2" t="s">
        <v>188</v>
      </c>
      <c r="H314" s="3" t="s">
        <v>189</v>
      </c>
      <c r="I314" s="2" t="s">
        <v>279</v>
      </c>
      <c r="J314" s="3" t="s">
        <v>280</v>
      </c>
      <c r="K314" s="2" t="s">
        <v>281</v>
      </c>
      <c r="L314" s="3" t="s">
        <v>282</v>
      </c>
      <c r="N314" s="4" t="s">
        <v>38</v>
      </c>
      <c r="O314" s="4" t="s">
        <v>38</v>
      </c>
      <c r="Q314" s="4" t="s">
        <v>38</v>
      </c>
      <c r="R314" s="2" t="s">
        <v>1544</v>
      </c>
      <c r="S314" s="2" t="s">
        <v>40</v>
      </c>
      <c r="T314" s="3" t="s">
        <v>1545</v>
      </c>
      <c r="U314" s="2" t="s">
        <v>1524</v>
      </c>
      <c r="V314" s="2" t="s">
        <v>43</v>
      </c>
      <c r="Y314" s="2" t="str">
        <f>VLOOKUP(C314,[1]Cat_Objetos!$C$4:$C$346,1,FALSE)</f>
        <v>Catálogo de usuarios</v>
      </c>
    </row>
    <row r="315" spans="1:25" ht="29.15" x14ac:dyDescent="0.4">
      <c r="A315" s="4">
        <f t="shared" si="5"/>
        <v>312</v>
      </c>
      <c r="B315" s="12">
        <v>0.13999999999999999</v>
      </c>
      <c r="C315" s="3" t="s">
        <v>1546</v>
      </c>
      <c r="E315" s="2" t="s">
        <v>186</v>
      </c>
      <c r="F315" s="3" t="s">
        <v>187</v>
      </c>
      <c r="G315" s="2" t="s">
        <v>303</v>
      </c>
      <c r="H315" s="3" t="s">
        <v>293</v>
      </c>
      <c r="I315" s="2" t="s">
        <v>294</v>
      </c>
      <c r="J315" s="3" t="s">
        <v>295</v>
      </c>
      <c r="K315" s="2" t="s">
        <v>304</v>
      </c>
      <c r="L315" s="3" t="s">
        <v>305</v>
      </c>
      <c r="N315" s="4" t="s">
        <v>38</v>
      </c>
      <c r="O315" s="4" t="s">
        <v>38</v>
      </c>
      <c r="Q315" s="4" t="s">
        <v>38</v>
      </c>
      <c r="R315" s="2" t="s">
        <v>688</v>
      </c>
      <c r="S315" s="2" t="s">
        <v>40</v>
      </c>
      <c r="T315" s="3" t="s">
        <v>49</v>
      </c>
      <c r="U315" s="2" t="s">
        <v>1524</v>
      </c>
      <c r="V315" s="2" t="s">
        <v>43</v>
      </c>
      <c r="Y315" s="2" t="str">
        <f>VLOOKUP(C315,[1]Cat_Objetos!$C$4:$C$346,1,FALSE)</f>
        <v>Otros mecanismos para la seguridad y confidencialidad estadística de la información</v>
      </c>
    </row>
    <row r="316" spans="1:25" x14ac:dyDescent="0.4">
      <c r="A316" s="4">
        <f t="shared" si="5"/>
        <v>313</v>
      </c>
      <c r="B316" s="12">
        <v>0.15</v>
      </c>
      <c r="C316" s="3" t="s">
        <v>1547</v>
      </c>
      <c r="E316" s="2" t="s">
        <v>186</v>
      </c>
      <c r="F316" s="3" t="s">
        <v>187</v>
      </c>
      <c r="G316" s="2" t="s">
        <v>303</v>
      </c>
      <c r="H316" s="3" t="s">
        <v>293</v>
      </c>
      <c r="I316" s="2" t="s">
        <v>346</v>
      </c>
      <c r="J316" s="3" t="s">
        <v>347</v>
      </c>
      <c r="K316" s="2" t="s">
        <v>348</v>
      </c>
      <c r="L316" s="3" t="s">
        <v>349</v>
      </c>
      <c r="N316" s="4" t="s">
        <v>38</v>
      </c>
      <c r="O316" s="4" t="s">
        <v>38</v>
      </c>
      <c r="Q316" s="4" t="s">
        <v>38</v>
      </c>
      <c r="R316" s="2" t="s">
        <v>1548</v>
      </c>
      <c r="S316" s="2" t="s">
        <v>40</v>
      </c>
      <c r="T316" s="3" t="s">
        <v>49</v>
      </c>
      <c r="U316" s="2" t="s">
        <v>1524</v>
      </c>
      <c r="V316" s="2" t="s">
        <v>43</v>
      </c>
      <c r="Y316" s="2" t="str">
        <f>VLOOKUP(C316,[1]Cat_Objetos!$C$4:$C$346,1,FALSE)</f>
        <v>Estándar BPMN</v>
      </c>
    </row>
    <row r="317" spans="1:25" x14ac:dyDescent="0.4">
      <c r="A317" s="4">
        <f t="shared" si="5"/>
        <v>314</v>
      </c>
      <c r="B317" s="12">
        <v>0.16</v>
      </c>
      <c r="C317" s="3" t="s">
        <v>1549</v>
      </c>
      <c r="E317" s="2" t="s">
        <v>186</v>
      </c>
      <c r="F317" s="3" t="s">
        <v>187</v>
      </c>
      <c r="G317" s="2" t="s">
        <v>303</v>
      </c>
      <c r="H317" s="3" t="s">
        <v>293</v>
      </c>
      <c r="I317" s="2" t="s">
        <v>346</v>
      </c>
      <c r="J317" s="3" t="s">
        <v>347</v>
      </c>
      <c r="K317" s="2" t="s">
        <v>348</v>
      </c>
      <c r="L317" s="3" t="s">
        <v>349</v>
      </c>
      <c r="N317" s="4" t="s">
        <v>38</v>
      </c>
      <c r="O317" s="4" t="s">
        <v>38</v>
      </c>
      <c r="Q317" s="4" t="s">
        <v>38</v>
      </c>
      <c r="R317" s="2" t="s">
        <v>1548</v>
      </c>
      <c r="S317" s="2" t="s">
        <v>40</v>
      </c>
      <c r="T317" s="3" t="s">
        <v>49</v>
      </c>
      <c r="U317" s="2" t="s">
        <v>1524</v>
      </c>
      <c r="V317" s="2" t="s">
        <v>43</v>
      </c>
      <c r="Y317" s="2" t="str">
        <f>VLOOKUP(C317,[1]Cat_Objetos!$C$4:$C$346,1,FALSE)</f>
        <v>Arquitectura de datos revelada de los PP</v>
      </c>
    </row>
    <row r="318" spans="1:25" x14ac:dyDescent="0.4">
      <c r="A318" s="4">
        <f t="shared" si="5"/>
        <v>315</v>
      </c>
      <c r="B318" s="12">
        <v>0.17</v>
      </c>
      <c r="C318" s="3" t="s">
        <v>1550</v>
      </c>
      <c r="E318" s="2" t="s">
        <v>186</v>
      </c>
      <c r="F318" s="3" t="s">
        <v>187</v>
      </c>
      <c r="G318" s="2" t="s">
        <v>303</v>
      </c>
      <c r="H318" s="3" t="s">
        <v>293</v>
      </c>
      <c r="I318" s="2" t="s">
        <v>346</v>
      </c>
      <c r="J318" s="3" t="s">
        <v>347</v>
      </c>
      <c r="K318" s="2" t="s">
        <v>348</v>
      </c>
      <c r="L318" s="3" t="s">
        <v>349</v>
      </c>
      <c r="N318" s="4" t="s">
        <v>38</v>
      </c>
      <c r="O318" s="4" t="s">
        <v>38</v>
      </c>
      <c r="Q318" s="4" t="s">
        <v>38</v>
      </c>
      <c r="R318" s="2" t="s">
        <v>1548</v>
      </c>
      <c r="S318" s="2" t="s">
        <v>40</v>
      </c>
      <c r="T318" s="3" t="s">
        <v>1551</v>
      </c>
      <c r="U318" s="2" t="s">
        <v>1524</v>
      </c>
      <c r="V318" s="2" t="s">
        <v>43</v>
      </c>
      <c r="Y318" s="2" t="str">
        <f>VLOOKUP(C318,[1]Cat_Objetos!$C$4:$C$346,1,FALSE)</f>
        <v>Catálogo de tareas</v>
      </c>
    </row>
    <row r="319" spans="1:25" x14ac:dyDescent="0.4">
      <c r="A319" s="4">
        <f t="shared" si="5"/>
        <v>316</v>
      </c>
      <c r="B319" s="12">
        <v>0.18000000000000002</v>
      </c>
      <c r="C319" s="3" t="s">
        <v>1552</v>
      </c>
      <c r="E319" s="2" t="s">
        <v>186</v>
      </c>
      <c r="F319" s="3" t="s">
        <v>187</v>
      </c>
      <c r="G319" s="2" t="s">
        <v>303</v>
      </c>
      <c r="H319" s="3" t="s">
        <v>293</v>
      </c>
      <c r="I319" s="2" t="s">
        <v>346</v>
      </c>
      <c r="J319" s="3" t="s">
        <v>347</v>
      </c>
      <c r="K319" s="2" t="s">
        <v>348</v>
      </c>
      <c r="L319" s="3" t="s">
        <v>349</v>
      </c>
      <c r="N319" s="4" t="s">
        <v>38</v>
      </c>
      <c r="O319" s="4" t="s">
        <v>38</v>
      </c>
      <c r="Q319" s="4" t="s">
        <v>38</v>
      </c>
      <c r="R319" s="2" t="s">
        <v>1548</v>
      </c>
      <c r="S319" s="2" t="s">
        <v>40</v>
      </c>
      <c r="T319" s="3" t="s">
        <v>1553</v>
      </c>
      <c r="U319" s="2" t="s">
        <v>1524</v>
      </c>
      <c r="V319" s="2" t="s">
        <v>43</v>
      </c>
      <c r="Y319" s="2" t="str">
        <f>VLOOKUP(C319,[1]Cat_Objetos!$C$4:$C$346,1,FALSE)</f>
        <v>Catálogo de objetos de información</v>
      </c>
    </row>
    <row r="320" spans="1:25" x14ac:dyDescent="0.4">
      <c r="A320" s="4">
        <f t="shared" si="5"/>
        <v>317</v>
      </c>
      <c r="B320" s="12">
        <v>0.19000000000000003</v>
      </c>
      <c r="C320" s="3" t="s">
        <v>1554</v>
      </c>
      <c r="E320" s="2" t="s">
        <v>186</v>
      </c>
      <c r="F320" s="3" t="s">
        <v>187</v>
      </c>
      <c r="G320" s="2" t="s">
        <v>303</v>
      </c>
      <c r="H320" s="3" t="s">
        <v>293</v>
      </c>
      <c r="I320" s="2" t="s">
        <v>346</v>
      </c>
      <c r="J320" s="3" t="s">
        <v>347</v>
      </c>
      <c r="K320" s="2" t="s">
        <v>348</v>
      </c>
      <c r="L320" s="3" t="s">
        <v>349</v>
      </c>
      <c r="N320" s="4" t="s">
        <v>38</v>
      </c>
      <c r="O320" s="4" t="s">
        <v>38</v>
      </c>
      <c r="Q320" s="4" t="s">
        <v>38</v>
      </c>
      <c r="R320" s="2" t="s">
        <v>1548</v>
      </c>
      <c r="S320" s="2" t="s">
        <v>40</v>
      </c>
      <c r="T320" s="3" t="s">
        <v>689</v>
      </c>
      <c r="U320" s="2" t="s">
        <v>1524</v>
      </c>
      <c r="V320" s="2" t="s">
        <v>43</v>
      </c>
      <c r="Y320" s="2" t="str">
        <f>VLOOKUP(C320,[1]Cat_Objetos!$C$4:$C$346,1,FALSE)</f>
        <v>Catálogo de roles</v>
      </c>
    </row>
    <row r="321" spans="1:25" ht="29.15" x14ac:dyDescent="0.4">
      <c r="A321" s="4">
        <f t="shared" si="5"/>
        <v>318</v>
      </c>
      <c r="B321" s="12">
        <v>0.20000000000000004</v>
      </c>
      <c r="C321" s="3" t="s">
        <v>1555</v>
      </c>
      <c r="E321" s="2" t="s">
        <v>186</v>
      </c>
      <c r="F321" s="3" t="s">
        <v>187</v>
      </c>
      <c r="G321" s="2" t="s">
        <v>358</v>
      </c>
      <c r="H321" s="3" t="s">
        <v>359</v>
      </c>
      <c r="I321" s="2" t="s">
        <v>412</v>
      </c>
      <c r="J321" s="3" t="s">
        <v>413</v>
      </c>
      <c r="K321" s="2" t="s">
        <v>448</v>
      </c>
      <c r="L321" s="3" t="s">
        <v>449</v>
      </c>
      <c r="N321" s="4" t="s">
        <v>38</v>
      </c>
      <c r="O321" s="4" t="s">
        <v>311</v>
      </c>
      <c r="Q321" s="4" t="s">
        <v>311</v>
      </c>
      <c r="R321" s="2" t="s">
        <v>471</v>
      </c>
      <c r="S321" s="2" t="s">
        <v>40</v>
      </c>
      <c r="T321" s="3" t="s">
        <v>1036</v>
      </c>
      <c r="U321" s="2" t="s">
        <v>1524</v>
      </c>
      <c r="V321" s="2" t="s">
        <v>43</v>
      </c>
      <c r="Y321" s="2" t="str">
        <f>VLOOKUP(C321,[1]Cat_Objetos!$C$4:$C$346,1,FALSE)</f>
        <v>Marco Geoestadístico</v>
      </c>
    </row>
    <row r="322" spans="1:25" x14ac:dyDescent="0.4">
      <c r="A322" s="4">
        <f t="shared" si="5"/>
        <v>319</v>
      </c>
      <c r="B322" s="16">
        <v>0.21000000000000005</v>
      </c>
      <c r="C322" s="3" t="s">
        <v>1556</v>
      </c>
      <c r="E322" s="2" t="s">
        <v>186</v>
      </c>
      <c r="F322" s="3" t="s">
        <v>187</v>
      </c>
      <c r="G322" s="2" t="s">
        <v>358</v>
      </c>
      <c r="H322" s="3" t="s">
        <v>359</v>
      </c>
      <c r="I322" s="2" t="s">
        <v>412</v>
      </c>
      <c r="J322" s="3" t="s">
        <v>413</v>
      </c>
      <c r="K322" s="2" t="s">
        <v>474</v>
      </c>
      <c r="L322" s="3" t="s">
        <v>475</v>
      </c>
      <c r="N322" s="4" t="s">
        <v>38</v>
      </c>
      <c r="O322" s="4" t="s">
        <v>38</v>
      </c>
      <c r="Q322" s="4" t="s">
        <v>38</v>
      </c>
      <c r="R322" s="2" t="s">
        <v>1557</v>
      </c>
      <c r="S322" s="2" t="s">
        <v>40</v>
      </c>
      <c r="T322" s="3" t="s">
        <v>95</v>
      </c>
      <c r="U322" s="2" t="s">
        <v>1524</v>
      </c>
      <c r="V322" s="2" t="s">
        <v>43</v>
      </c>
      <c r="Y322" s="2" t="str">
        <f>VLOOKUP(C322,[1]Cat_Objetos!$C$4:$C$346,1,FALSE)</f>
        <v>Procedimientos administrativos para la contratación del personal</v>
      </c>
    </row>
    <row r="323" spans="1:25" ht="29.15" x14ac:dyDescent="0.4">
      <c r="A323" s="4">
        <f t="shared" si="5"/>
        <v>320</v>
      </c>
      <c r="B323" s="12">
        <v>0.22000000000000006</v>
      </c>
      <c r="C323" s="3" t="s">
        <v>1558</v>
      </c>
      <c r="E323" s="2" t="s">
        <v>186</v>
      </c>
      <c r="F323" s="3" t="s">
        <v>187</v>
      </c>
      <c r="G323" s="2" t="s">
        <v>491</v>
      </c>
      <c r="H323" s="3" t="s">
        <v>492</v>
      </c>
      <c r="I323" s="2" t="s">
        <v>493</v>
      </c>
      <c r="J323" s="3" t="s">
        <v>494</v>
      </c>
      <c r="K323" s="2" t="s">
        <v>1559</v>
      </c>
      <c r="L323" s="3" t="s">
        <v>1560</v>
      </c>
      <c r="N323" s="4" t="s">
        <v>311</v>
      </c>
      <c r="O323" s="4" t="s">
        <v>38</v>
      </c>
      <c r="Q323" s="4" t="s">
        <v>311</v>
      </c>
      <c r="R323" s="2" t="s">
        <v>503</v>
      </c>
      <c r="S323" s="2" t="s">
        <v>40</v>
      </c>
      <c r="T323" s="3" t="s">
        <v>514</v>
      </c>
      <c r="U323" s="2" t="s">
        <v>1524</v>
      </c>
      <c r="V323" s="2" t="s">
        <v>273</v>
      </c>
      <c r="Y323" s="2" t="str">
        <f>VLOOKUP(C323,[1]Cat_Objetos!$C$4:$C$346,1,FALSE)</f>
        <v>Marco de muestreo por actualizar</v>
      </c>
    </row>
    <row r="324" spans="1:25" ht="29.15" x14ac:dyDescent="0.4">
      <c r="A324" s="4">
        <f t="shared" si="5"/>
        <v>321</v>
      </c>
      <c r="B324" s="12">
        <v>0.23000000000000007</v>
      </c>
      <c r="C324" s="3" t="s">
        <v>1561</v>
      </c>
      <c r="E324" s="2" t="s">
        <v>186</v>
      </c>
      <c r="F324" s="3" t="s">
        <v>187</v>
      </c>
      <c r="G324" s="2" t="s">
        <v>491</v>
      </c>
      <c r="H324" s="3" t="s">
        <v>492</v>
      </c>
      <c r="I324" s="2" t="s">
        <v>493</v>
      </c>
      <c r="J324" s="3" t="s">
        <v>494</v>
      </c>
      <c r="K324" s="2" t="s">
        <v>1559</v>
      </c>
      <c r="L324" s="3" t="s">
        <v>1560</v>
      </c>
      <c r="N324" s="4" t="s">
        <v>311</v>
      </c>
      <c r="O324" s="4" t="s">
        <v>38</v>
      </c>
      <c r="Q324" s="4" t="s">
        <v>311</v>
      </c>
      <c r="R324" s="2" t="s">
        <v>503</v>
      </c>
      <c r="S324" s="2" t="s">
        <v>40</v>
      </c>
      <c r="T324" s="3" t="s">
        <v>514</v>
      </c>
      <c r="U324" s="2" t="s">
        <v>1524</v>
      </c>
      <c r="V324" s="2" t="s">
        <v>273</v>
      </c>
      <c r="Y324" s="2" t="str">
        <f>VLOOKUP(C324,[1]Cat_Objetos!$C$4:$C$346,1,FALSE)</f>
        <v>Marco de muestreo</v>
      </c>
    </row>
    <row r="325" spans="1:25" ht="29.15" x14ac:dyDescent="0.4">
      <c r="A325" s="4">
        <f t="shared" si="5"/>
        <v>322</v>
      </c>
      <c r="B325" s="17">
        <v>0.24</v>
      </c>
      <c r="C325" s="7" t="s">
        <v>1562</v>
      </c>
      <c r="E325" s="2" t="s">
        <v>186</v>
      </c>
      <c r="F325" s="3" t="s">
        <v>187</v>
      </c>
      <c r="G325" s="2" t="s">
        <v>491</v>
      </c>
      <c r="H325" s="3" t="s">
        <v>492</v>
      </c>
      <c r="I325" s="2" t="s">
        <v>531</v>
      </c>
      <c r="J325" s="3" t="s">
        <v>532</v>
      </c>
      <c r="K325" s="2" t="s">
        <v>544</v>
      </c>
      <c r="L325" s="3" t="s">
        <v>545</v>
      </c>
      <c r="N325" s="4" t="s">
        <v>38</v>
      </c>
      <c r="O325" s="4" t="s">
        <v>311</v>
      </c>
      <c r="Q325" s="4" t="s">
        <v>38</v>
      </c>
      <c r="S325" s="2" t="s">
        <v>40</v>
      </c>
      <c r="T325" s="3" t="s">
        <v>1036</v>
      </c>
      <c r="U325" s="2" t="s">
        <v>1524</v>
      </c>
      <c r="V325" s="2" t="s">
        <v>43</v>
      </c>
      <c r="Y325" s="2" t="e">
        <f>VLOOKUP(C325,[1]Cat_Objetos!$C$4:$C$346,1,FALSE)</f>
        <v>#N/A</v>
      </c>
    </row>
    <row r="326" spans="1:25" ht="29.15" x14ac:dyDescent="0.4">
      <c r="A326" s="4">
        <f t="shared" si="5"/>
        <v>323</v>
      </c>
      <c r="B326" s="12">
        <v>0.25000000000000006</v>
      </c>
      <c r="C326" s="3" t="s">
        <v>1563</v>
      </c>
      <c r="E326" s="2" t="s">
        <v>186</v>
      </c>
      <c r="F326" s="3" t="s">
        <v>187</v>
      </c>
      <c r="G326" s="2" t="s">
        <v>491</v>
      </c>
      <c r="H326" s="3" t="s">
        <v>492</v>
      </c>
      <c r="I326" s="2" t="s">
        <v>550</v>
      </c>
      <c r="J326" s="3" t="s">
        <v>551</v>
      </c>
      <c r="K326" s="2" t="s">
        <v>552</v>
      </c>
      <c r="L326" s="3" t="s">
        <v>553</v>
      </c>
      <c r="N326" s="4" t="s">
        <v>38</v>
      </c>
      <c r="O326" s="4" t="s">
        <v>38</v>
      </c>
      <c r="Q326" s="4" t="s">
        <v>311</v>
      </c>
      <c r="R326" s="2" t="s">
        <v>541</v>
      </c>
      <c r="S326" s="2" t="s">
        <v>40</v>
      </c>
      <c r="T326" s="3" t="s">
        <v>1545</v>
      </c>
      <c r="U326" s="2" t="s">
        <v>1524</v>
      </c>
      <c r="V326" s="2" t="s">
        <v>43</v>
      </c>
      <c r="Y326" s="2" t="str">
        <f>VLOOKUP(C326,[1]Cat_Objetos!$C$4:$C$346,1,FALSE)</f>
        <v>Fichas de indicadores de precisión para indicadores objetivo</v>
      </c>
    </row>
    <row r="327" spans="1:25" ht="29.15" x14ac:dyDescent="0.4">
      <c r="A327" s="4">
        <f t="shared" si="5"/>
        <v>324</v>
      </c>
      <c r="B327" s="12">
        <v>0.26000000000000006</v>
      </c>
      <c r="C327" s="7" t="s">
        <v>1564</v>
      </c>
      <c r="E327" s="2" t="s">
        <v>186</v>
      </c>
      <c r="F327" s="3" t="s">
        <v>187</v>
      </c>
      <c r="G327" s="2" t="s">
        <v>491</v>
      </c>
      <c r="H327" s="3" t="s">
        <v>492</v>
      </c>
      <c r="I327" s="2" t="s">
        <v>563</v>
      </c>
      <c r="J327" s="3" t="s">
        <v>564</v>
      </c>
      <c r="K327" s="2" t="s">
        <v>1565</v>
      </c>
      <c r="L327" s="3" t="s">
        <v>1566</v>
      </c>
      <c r="N327" s="4" t="s">
        <v>38</v>
      </c>
      <c r="O327" s="4" t="s">
        <v>311</v>
      </c>
      <c r="Q327" s="4" t="s">
        <v>38</v>
      </c>
      <c r="S327" s="2" t="s">
        <v>40</v>
      </c>
      <c r="T327" s="3" t="s">
        <v>1036</v>
      </c>
      <c r="U327" s="2" t="s">
        <v>1524</v>
      </c>
      <c r="V327" s="2" t="s">
        <v>43</v>
      </c>
      <c r="Y327" s="2" t="e">
        <f>VLOOKUP(C327,[1]Cat_Objetos!$C$4:$C$346,1,FALSE)</f>
        <v>#N/A</v>
      </c>
    </row>
    <row r="328" spans="1:25" x14ac:dyDescent="0.4">
      <c r="A328" s="4">
        <f t="shared" si="5"/>
        <v>325</v>
      </c>
      <c r="B328" s="12">
        <v>0.27000000000000007</v>
      </c>
      <c r="C328" s="3" t="s">
        <v>1567</v>
      </c>
      <c r="E328" s="2" t="s">
        <v>186</v>
      </c>
      <c r="F328" s="3" t="s">
        <v>187</v>
      </c>
      <c r="G328" s="2" t="s">
        <v>583</v>
      </c>
      <c r="H328" s="3" t="s">
        <v>584</v>
      </c>
      <c r="I328" s="2" t="s">
        <v>585</v>
      </c>
      <c r="J328" s="3" t="s">
        <v>586</v>
      </c>
      <c r="K328" s="2" t="s">
        <v>602</v>
      </c>
      <c r="L328" s="3" t="s">
        <v>603</v>
      </c>
      <c r="N328" s="4" t="s">
        <v>311</v>
      </c>
      <c r="O328" s="4" t="s">
        <v>38</v>
      </c>
      <c r="Q328" s="4" t="s">
        <v>311</v>
      </c>
      <c r="R328" s="2" t="s">
        <v>1568</v>
      </c>
      <c r="S328" s="2" t="s">
        <v>40</v>
      </c>
      <c r="T328" s="3" t="s">
        <v>49</v>
      </c>
      <c r="U328" s="2" t="s">
        <v>1524</v>
      </c>
      <c r="V328" s="2" t="s">
        <v>43</v>
      </c>
      <c r="Y328" s="2" t="str">
        <f>VLOOKUP(C328,[1]Cat_Objetos!$C$4:$C$346,1,FALSE)</f>
        <v>Guía de diseño de la muestra para encuestas</v>
      </c>
    </row>
    <row r="329" spans="1:25" x14ac:dyDescent="0.4">
      <c r="A329" s="4">
        <f t="shared" si="5"/>
        <v>326</v>
      </c>
      <c r="B329" s="12">
        <v>0.28000000000000008</v>
      </c>
      <c r="C329" s="3" t="s">
        <v>1569</v>
      </c>
      <c r="D329" s="8"/>
      <c r="E329" s="2" t="s">
        <v>186</v>
      </c>
      <c r="F329" s="3" t="s">
        <v>187</v>
      </c>
      <c r="G329" s="2" t="s">
        <v>583</v>
      </c>
      <c r="H329" s="3" t="s">
        <v>584</v>
      </c>
      <c r="I329" s="2" t="s">
        <v>585</v>
      </c>
      <c r="J329" s="3" t="s">
        <v>586</v>
      </c>
      <c r="K329" s="2" t="s">
        <v>616</v>
      </c>
      <c r="L329" s="3" t="s">
        <v>617</v>
      </c>
      <c r="N329" s="4" t="s">
        <v>38</v>
      </c>
      <c r="O329" s="4" t="s">
        <v>38</v>
      </c>
      <c r="Q329" s="4" t="s">
        <v>38</v>
      </c>
      <c r="R329" s="2" t="s">
        <v>618</v>
      </c>
      <c r="S329" s="2" t="s">
        <v>40</v>
      </c>
      <c r="T329" s="3" t="s">
        <v>49</v>
      </c>
      <c r="U329" s="2" t="s">
        <v>1524</v>
      </c>
      <c r="V329" s="2" t="s">
        <v>43</v>
      </c>
      <c r="Y329" s="2" t="str">
        <f>VLOOKUP(C329,[1]Cat_Objetos!$C$4:$C$346,1,FALSE)</f>
        <v>Métodos de edición e imputación de datos investigados</v>
      </c>
    </row>
    <row r="330" spans="1:25" ht="29.15" x14ac:dyDescent="0.4">
      <c r="A330" s="4">
        <f t="shared" si="5"/>
        <v>327</v>
      </c>
      <c r="B330" s="12">
        <v>0.29000000000000009</v>
      </c>
      <c r="C330" s="3" t="s">
        <v>1570</v>
      </c>
      <c r="E330" s="2" t="s">
        <v>186</v>
      </c>
      <c r="F330" s="3" t="s">
        <v>187</v>
      </c>
      <c r="G330" s="2" t="s">
        <v>583</v>
      </c>
      <c r="H330" s="3" t="s">
        <v>584</v>
      </c>
      <c r="I330" s="2" t="s">
        <v>585</v>
      </c>
      <c r="J330" s="3" t="s">
        <v>586</v>
      </c>
      <c r="K330" s="2" t="s">
        <v>633</v>
      </c>
      <c r="L330" s="3" t="s">
        <v>634</v>
      </c>
      <c r="N330" s="4" t="s">
        <v>38</v>
      </c>
      <c r="O330" s="4" t="s">
        <v>38</v>
      </c>
      <c r="Q330" s="4" t="s">
        <v>38</v>
      </c>
      <c r="R330" s="2" t="s">
        <v>1571</v>
      </c>
      <c r="S330" s="2" t="s">
        <v>40</v>
      </c>
      <c r="T330" s="3" t="s">
        <v>1545</v>
      </c>
      <c r="U330" s="2" t="s">
        <v>1524</v>
      </c>
      <c r="V330" s="2" t="s">
        <v>43</v>
      </c>
      <c r="Y330" s="2" t="str">
        <f>VLOOKUP(C330,[1]Cat_Objetos!$C$4:$C$346,1,FALSE)</f>
        <v>Fichas de los indicadores de calidad</v>
      </c>
    </row>
    <row r="331" spans="1:25" x14ac:dyDescent="0.4">
      <c r="A331" s="4">
        <f t="shared" si="5"/>
        <v>328</v>
      </c>
      <c r="B331" s="12">
        <v>0.3000000000000001</v>
      </c>
      <c r="C331" s="3" t="s">
        <v>1572</v>
      </c>
      <c r="D331" s="2" t="s">
        <v>1573</v>
      </c>
      <c r="E331" s="2" t="s">
        <v>186</v>
      </c>
      <c r="F331" s="3" t="s">
        <v>187</v>
      </c>
      <c r="G331" s="2" t="s">
        <v>583</v>
      </c>
      <c r="H331" s="3" t="s">
        <v>584</v>
      </c>
      <c r="I331" s="2" t="s">
        <v>677</v>
      </c>
      <c r="J331" s="3" t="s">
        <v>678</v>
      </c>
      <c r="K331" s="2" t="s">
        <v>679</v>
      </c>
      <c r="L331" s="3" t="s">
        <v>678</v>
      </c>
      <c r="N331" s="4" t="s">
        <v>38</v>
      </c>
      <c r="O331" s="4" t="s">
        <v>38</v>
      </c>
      <c r="Q331" s="4" t="s">
        <v>38</v>
      </c>
      <c r="R331" s="2" t="s">
        <v>688</v>
      </c>
      <c r="S331" s="2" t="s">
        <v>40</v>
      </c>
      <c r="T331" s="3" t="s">
        <v>49</v>
      </c>
      <c r="U331" s="2" t="s">
        <v>1524</v>
      </c>
      <c r="V331" s="2" t="s">
        <v>43</v>
      </c>
      <c r="Y331" s="2" t="str">
        <f>VLOOKUP(C331,[1]Cat_Objetos!$C$4:$C$346,1,FALSE)</f>
        <v>Sistema de Inventarios de Seguridad de la Información</v>
      </c>
    </row>
    <row r="332" spans="1:25" ht="29.15" x14ac:dyDescent="0.4">
      <c r="A332" s="4">
        <f t="shared" si="5"/>
        <v>329</v>
      </c>
      <c r="B332" s="12">
        <v>0.31000000000000011</v>
      </c>
      <c r="C332" s="3" t="s">
        <v>1574</v>
      </c>
      <c r="E332" s="2" t="s">
        <v>186</v>
      </c>
      <c r="F332" s="3" t="s">
        <v>187</v>
      </c>
      <c r="G332" s="2" t="s">
        <v>706</v>
      </c>
      <c r="H332" s="3" t="s">
        <v>707</v>
      </c>
      <c r="I332" s="2" t="s">
        <v>708</v>
      </c>
      <c r="J332" s="3" t="s">
        <v>709</v>
      </c>
      <c r="K332" s="2" t="s">
        <v>710</v>
      </c>
      <c r="L332" s="3" t="s">
        <v>711</v>
      </c>
      <c r="N332" s="4" t="s">
        <v>38</v>
      </c>
      <c r="O332" s="4" t="s">
        <v>38</v>
      </c>
      <c r="Q332" s="4" t="s">
        <v>38</v>
      </c>
      <c r="R332" s="2" t="s">
        <v>1575</v>
      </c>
      <c r="S332" s="2" t="s">
        <v>40</v>
      </c>
      <c r="T332" s="3" t="s">
        <v>441</v>
      </c>
      <c r="U332" s="2" t="s">
        <v>1524</v>
      </c>
      <c r="V332" s="2" t="s">
        <v>43</v>
      </c>
      <c r="Y332" s="2" t="str">
        <f>VLOOKUP(C332,[1]Cat_Objetos!$C$4:$C$346,1,FALSE)</f>
        <v>Acuerdos y protocolos de difusión o intercambio</v>
      </c>
    </row>
    <row r="333" spans="1:25" ht="29.15" x14ac:dyDescent="0.4">
      <c r="A333" s="4">
        <f t="shared" si="5"/>
        <v>330</v>
      </c>
      <c r="B333" s="16">
        <v>0.32000000000000012</v>
      </c>
      <c r="C333" s="3" t="s">
        <v>1576</v>
      </c>
      <c r="E333" s="2" t="s">
        <v>721</v>
      </c>
      <c r="F333" s="3" t="s">
        <v>722</v>
      </c>
      <c r="G333" s="2" t="s">
        <v>877</v>
      </c>
      <c r="H333" s="3" t="s">
        <v>878</v>
      </c>
      <c r="I333" s="2" t="s">
        <v>879</v>
      </c>
      <c r="J333" s="3" t="s">
        <v>880</v>
      </c>
      <c r="K333" s="2" t="s">
        <v>894</v>
      </c>
      <c r="L333" s="3" t="s">
        <v>895</v>
      </c>
      <c r="N333" s="4" t="s">
        <v>38</v>
      </c>
      <c r="O333" s="4" t="s">
        <v>38</v>
      </c>
      <c r="Q333" s="4" t="s">
        <v>311</v>
      </c>
      <c r="R333" s="2" t="s">
        <v>885</v>
      </c>
      <c r="S333" s="2" t="s">
        <v>40</v>
      </c>
      <c r="T333" s="3" t="s">
        <v>441</v>
      </c>
      <c r="U333" s="2" t="s">
        <v>1524</v>
      </c>
      <c r="V333" s="2" t="s">
        <v>43</v>
      </c>
      <c r="Y333" s="2" t="str">
        <f>VLOOKUP(C333,[1]Cat_Objetos!$C$4:$C$346,1,FALSE)</f>
        <v>Convenios o acuerdos especiales para la prueba de campo o piloto</v>
      </c>
    </row>
    <row r="334" spans="1:25" ht="29.15" x14ac:dyDescent="0.4">
      <c r="A334" s="4">
        <f t="shared" si="5"/>
        <v>331</v>
      </c>
      <c r="B334" s="16">
        <v>0.33000000000000013</v>
      </c>
      <c r="C334" s="3" t="s">
        <v>1577</v>
      </c>
      <c r="E334" s="2" t="s">
        <v>721</v>
      </c>
      <c r="F334" s="3" t="s">
        <v>722</v>
      </c>
      <c r="G334" s="2" t="s">
        <v>930</v>
      </c>
      <c r="H334" s="3" t="s">
        <v>931</v>
      </c>
      <c r="I334" s="2" t="s">
        <v>932</v>
      </c>
      <c r="J334" s="3" t="s">
        <v>933</v>
      </c>
      <c r="K334" s="2" t="s">
        <v>934</v>
      </c>
      <c r="L334" s="3" t="s">
        <v>935</v>
      </c>
      <c r="N334" s="4" t="s">
        <v>38</v>
      </c>
      <c r="O334" s="4" t="s">
        <v>38</v>
      </c>
      <c r="Q334" s="4" t="s">
        <v>38</v>
      </c>
      <c r="R334" s="2" t="s">
        <v>885</v>
      </c>
      <c r="S334" s="2" t="s">
        <v>40</v>
      </c>
      <c r="T334" s="3" t="s">
        <v>1578</v>
      </c>
      <c r="U334" s="2" t="s">
        <v>1524</v>
      </c>
      <c r="V334" s="2" t="s">
        <v>43</v>
      </c>
      <c r="Y334" s="2" t="str">
        <f>VLOOKUP(C334,[1]Cat_Objetos!$C$4:$C$346,1,FALSE)</f>
        <v>Especificación de roles y accesos</v>
      </c>
    </row>
    <row r="335" spans="1:25" ht="29.15" x14ac:dyDescent="0.4">
      <c r="A335" s="4">
        <f t="shared" si="5"/>
        <v>332</v>
      </c>
      <c r="B335" s="16">
        <v>0.34000000000000014</v>
      </c>
      <c r="C335" s="3" t="s">
        <v>1579</v>
      </c>
      <c r="E335" s="2" t="s">
        <v>988</v>
      </c>
      <c r="F335" s="3" t="s">
        <v>989</v>
      </c>
      <c r="G335" s="2" t="s">
        <v>990</v>
      </c>
      <c r="H335" s="3" t="s">
        <v>991</v>
      </c>
      <c r="I335" s="2" t="s">
        <v>992</v>
      </c>
      <c r="J335" s="3" t="s">
        <v>993</v>
      </c>
      <c r="K335" s="2" t="s">
        <v>1023</v>
      </c>
      <c r="L335" s="3" t="s">
        <v>1024</v>
      </c>
      <c r="N335" s="4" t="s">
        <v>38</v>
      </c>
      <c r="O335" s="4" t="s">
        <v>38</v>
      </c>
      <c r="Q335" s="4" t="s">
        <v>38</v>
      </c>
      <c r="R335" s="2" t="s">
        <v>1062</v>
      </c>
      <c r="S335" s="2" t="s">
        <v>40</v>
      </c>
      <c r="T335" s="3" t="s">
        <v>441</v>
      </c>
      <c r="U335" s="2" t="s">
        <v>1524</v>
      </c>
      <c r="V335" s="2" t="s">
        <v>43</v>
      </c>
      <c r="Y335" s="2" t="str">
        <f>VLOOKUP(C335,[1]Cat_Objetos!$C$4:$C$346,1,FALSE)</f>
        <v>Convenios y acuerdos para la captación</v>
      </c>
    </row>
    <row r="336" spans="1:25" ht="29.15" x14ac:dyDescent="0.4">
      <c r="A336" s="4">
        <f t="shared" si="5"/>
        <v>333</v>
      </c>
      <c r="B336" s="16">
        <v>0.35000000000000014</v>
      </c>
      <c r="C336" s="3" t="s">
        <v>1580</v>
      </c>
      <c r="E336" s="2" t="s">
        <v>988</v>
      </c>
      <c r="F336" s="3" t="s">
        <v>989</v>
      </c>
      <c r="G336" s="2" t="s">
        <v>990</v>
      </c>
      <c r="H336" s="3" t="s">
        <v>991</v>
      </c>
      <c r="I336" s="2" t="s">
        <v>1039</v>
      </c>
      <c r="J336" s="3" t="s">
        <v>1040</v>
      </c>
      <c r="K336" s="2" t="s">
        <v>1086</v>
      </c>
      <c r="L336" s="3" t="s">
        <v>1087</v>
      </c>
      <c r="N336" s="4" t="s">
        <v>38</v>
      </c>
      <c r="O336" s="4" t="s">
        <v>38</v>
      </c>
      <c r="Q336" s="4" t="s">
        <v>38</v>
      </c>
      <c r="R336" s="2" t="s">
        <v>1043</v>
      </c>
      <c r="S336" s="2" t="s">
        <v>40</v>
      </c>
      <c r="T336" s="3" t="s">
        <v>95</v>
      </c>
      <c r="U336" s="2" t="s">
        <v>1524</v>
      </c>
      <c r="V336" s="2" t="s">
        <v>43</v>
      </c>
      <c r="Y336" s="2" t="str">
        <f>VLOOKUP(C336,[1]Cat_Objetos!$C$4:$C$346,1,FALSE)</f>
        <v>Lineamientos administrativos para la ministración de recursos</v>
      </c>
    </row>
    <row r="337" spans="1:25" ht="29.15" x14ac:dyDescent="0.4">
      <c r="A337" s="4">
        <f t="shared" si="5"/>
        <v>334</v>
      </c>
      <c r="B337" s="16">
        <v>0.36000000000000015</v>
      </c>
      <c r="C337" s="3" t="s">
        <v>1581</v>
      </c>
      <c r="D337" s="2" t="s">
        <v>1582</v>
      </c>
      <c r="E337" s="2" t="s">
        <v>988</v>
      </c>
      <c r="F337" s="3" t="s">
        <v>989</v>
      </c>
      <c r="G337" s="2" t="s">
        <v>1192</v>
      </c>
      <c r="H337" s="3" t="s">
        <v>1193</v>
      </c>
      <c r="I337" s="2" t="s">
        <v>1194</v>
      </c>
      <c r="J337" s="3" t="s">
        <v>1193</v>
      </c>
      <c r="K337" s="2" t="s">
        <v>1583</v>
      </c>
      <c r="L337" s="3" t="s">
        <v>1584</v>
      </c>
      <c r="N337" s="4" t="s">
        <v>38</v>
      </c>
      <c r="O337" s="4" t="s">
        <v>38</v>
      </c>
      <c r="Q337" s="4" t="s">
        <v>38</v>
      </c>
      <c r="R337" s="2" t="s">
        <v>1585</v>
      </c>
      <c r="S337" s="2" t="s">
        <v>40</v>
      </c>
      <c r="T337" s="3" t="s">
        <v>905</v>
      </c>
      <c r="U337" s="2" t="s">
        <v>1524</v>
      </c>
      <c r="V337" s="2" t="s">
        <v>273</v>
      </c>
      <c r="Y337" s="2" t="str">
        <f>VLOOKUP(C337,[1]Cat_Objetos!$C$4:$C$346,1,FALSE)</f>
        <v>Respaldo de conjunto de datos captados, del sist. para la captación y del sist. administrador</v>
      </c>
    </row>
    <row r="338" spans="1:25" x14ac:dyDescent="0.4">
      <c r="A338" s="4">
        <f t="shared" si="5"/>
        <v>335</v>
      </c>
      <c r="B338" s="16">
        <v>0.37000000000000016</v>
      </c>
      <c r="C338" s="3" t="s">
        <v>1586</v>
      </c>
      <c r="D338" s="8"/>
      <c r="E338" s="2" t="s">
        <v>1204</v>
      </c>
      <c r="F338" s="3" t="s">
        <v>1205</v>
      </c>
      <c r="G338" s="2" t="s">
        <v>1206</v>
      </c>
      <c r="H338" s="3" t="s">
        <v>1207</v>
      </c>
      <c r="I338" s="2" t="s">
        <v>1208</v>
      </c>
      <c r="J338" s="3" t="s">
        <v>1209</v>
      </c>
      <c r="K338" s="2" t="s">
        <v>1210</v>
      </c>
      <c r="L338" s="3" t="s">
        <v>1211</v>
      </c>
      <c r="N338" s="4" t="s">
        <v>38</v>
      </c>
      <c r="O338" s="4" t="s">
        <v>38</v>
      </c>
      <c r="Q338" s="4" t="s">
        <v>38</v>
      </c>
      <c r="R338" s="2" t="s">
        <v>1212</v>
      </c>
      <c r="S338" s="2" t="s">
        <v>40</v>
      </c>
      <c r="T338" s="3" t="s">
        <v>905</v>
      </c>
      <c r="U338" s="2" t="s">
        <v>1524</v>
      </c>
      <c r="V338" s="2" t="s">
        <v>273</v>
      </c>
      <c r="Y338" s="2" t="str">
        <f>VLOOKUP(C338,[1]Cat_Objetos!$C$4:$C$346,1,FALSE)</f>
        <v>Datos geoespaciales</v>
      </c>
    </row>
    <row r="339" spans="1:25" x14ac:dyDescent="0.4">
      <c r="A339" s="4">
        <f t="shared" si="5"/>
        <v>336</v>
      </c>
      <c r="B339" s="16">
        <v>0.38000000000000017</v>
      </c>
      <c r="C339" s="3" t="s">
        <v>1587</v>
      </c>
      <c r="D339" s="8"/>
      <c r="E339" s="2" t="s">
        <v>1204</v>
      </c>
      <c r="F339" s="3" t="s">
        <v>1205</v>
      </c>
      <c r="G339" s="2" t="s">
        <v>1206</v>
      </c>
      <c r="H339" s="3" t="s">
        <v>1207</v>
      </c>
      <c r="I339" s="2" t="s">
        <v>1208</v>
      </c>
      <c r="J339" s="3" t="s">
        <v>1209</v>
      </c>
      <c r="K339" s="2" t="s">
        <v>1210</v>
      </c>
      <c r="L339" s="3" t="s">
        <v>1211</v>
      </c>
      <c r="N339" s="4" t="s">
        <v>38</v>
      </c>
      <c r="O339" s="4" t="s">
        <v>38</v>
      </c>
      <c r="Q339" s="4" t="s">
        <v>38</v>
      </c>
      <c r="R339" s="2" t="s">
        <v>1212</v>
      </c>
      <c r="S339" s="2" t="s">
        <v>40</v>
      </c>
      <c r="T339" s="3" t="s">
        <v>905</v>
      </c>
      <c r="U339" s="2" t="s">
        <v>1524</v>
      </c>
      <c r="V339" s="2" t="s">
        <v>273</v>
      </c>
      <c r="Y339" s="2" t="str">
        <f>VLOOKUP(C339,[1]Cat_Objetos!$C$4:$C$346,1,FALSE)</f>
        <v>Registros administrativos</v>
      </c>
    </row>
    <row r="340" spans="1:25" x14ac:dyDescent="0.4">
      <c r="A340" s="4">
        <f t="shared" si="5"/>
        <v>337</v>
      </c>
      <c r="B340" s="16">
        <v>0.39000000000000018</v>
      </c>
      <c r="C340" s="3" t="s">
        <v>1588</v>
      </c>
      <c r="D340" s="8"/>
      <c r="E340" s="2" t="s">
        <v>1204</v>
      </c>
      <c r="F340" s="3" t="s">
        <v>1205</v>
      </c>
      <c r="G340" s="2" t="s">
        <v>1206</v>
      </c>
      <c r="H340" s="3" t="s">
        <v>1207</v>
      </c>
      <c r="I340" s="2" t="s">
        <v>1208</v>
      </c>
      <c r="J340" s="3" t="s">
        <v>1209</v>
      </c>
      <c r="K340" s="2" t="s">
        <v>1210</v>
      </c>
      <c r="L340" s="3" t="s">
        <v>1211</v>
      </c>
      <c r="N340" s="4" t="s">
        <v>38</v>
      </c>
      <c r="O340" s="4" t="s">
        <v>38</v>
      </c>
      <c r="Q340" s="4" t="s">
        <v>38</v>
      </c>
      <c r="R340" s="2" t="s">
        <v>1212</v>
      </c>
      <c r="S340" s="2" t="s">
        <v>40</v>
      </c>
      <c r="T340" s="3" t="s">
        <v>905</v>
      </c>
      <c r="U340" s="2" t="s">
        <v>1524</v>
      </c>
      <c r="V340" s="2" t="s">
        <v>273</v>
      </c>
      <c r="Y340" s="2" t="str">
        <f>VLOOKUP(C340,[1]Cat_Objetos!$C$4:$C$346,1,FALSE)</f>
        <v>Datos de otros procesos de producción</v>
      </c>
    </row>
    <row r="341" spans="1:25" x14ac:dyDescent="0.4">
      <c r="A341" s="4">
        <f t="shared" si="5"/>
        <v>338</v>
      </c>
      <c r="B341" s="12">
        <v>0.40000000000000019</v>
      </c>
      <c r="C341" s="3" t="s">
        <v>1589</v>
      </c>
      <c r="E341" s="2" t="s">
        <v>1342</v>
      </c>
      <c r="F341" s="3" t="s">
        <v>1343</v>
      </c>
      <c r="G341" s="2" t="s">
        <v>1369</v>
      </c>
      <c r="H341" s="3" t="s">
        <v>1370</v>
      </c>
      <c r="I341" s="2" t="s">
        <v>1371</v>
      </c>
      <c r="J341" s="3" t="s">
        <v>1372</v>
      </c>
      <c r="K341" s="2" t="s">
        <v>1381</v>
      </c>
      <c r="L341" s="3" t="s">
        <v>1382</v>
      </c>
      <c r="N341" s="4" t="s">
        <v>38</v>
      </c>
      <c r="O341" s="4" t="s">
        <v>38</v>
      </c>
      <c r="Q341" s="4" t="s">
        <v>38</v>
      </c>
      <c r="R341" s="2" t="s">
        <v>1590</v>
      </c>
      <c r="S341" s="2" t="s">
        <v>40</v>
      </c>
      <c r="T341" s="3" t="s">
        <v>1545</v>
      </c>
      <c r="U341" s="2" t="s">
        <v>1524</v>
      </c>
      <c r="V341" s="2" t="s">
        <v>43</v>
      </c>
      <c r="Y341" s="2" t="str">
        <f>VLOOKUP(C341,[1]Cat_Objetos!$C$4:$C$346,1,FALSE)</f>
        <v>Datos de otras fuentes de información</v>
      </c>
    </row>
    <row r="342" spans="1:25" x14ac:dyDescent="0.4">
      <c r="A342" s="4">
        <f t="shared" si="5"/>
        <v>339</v>
      </c>
      <c r="B342" s="12">
        <v>0.4100000000000002</v>
      </c>
      <c r="C342" s="3" t="s">
        <v>1591</v>
      </c>
      <c r="D342" s="8"/>
      <c r="E342" s="2" t="s">
        <v>1442</v>
      </c>
      <c r="F342" s="3" t="s">
        <v>1443</v>
      </c>
      <c r="G342" s="2">
        <v>7.3</v>
      </c>
      <c r="H342" s="3" t="s">
        <v>1474</v>
      </c>
      <c r="I342" s="2" t="s">
        <v>1592</v>
      </c>
      <c r="J342" s="3" t="s">
        <v>1593</v>
      </c>
      <c r="K342" s="2" t="s">
        <v>1594</v>
      </c>
      <c r="L342" s="3" t="s">
        <v>1595</v>
      </c>
      <c r="N342" s="4" t="s">
        <v>38</v>
      </c>
      <c r="O342" s="4" t="s">
        <v>38</v>
      </c>
      <c r="Q342" s="4" t="s">
        <v>38</v>
      </c>
      <c r="R342" s="2" t="s">
        <v>1596</v>
      </c>
      <c r="S342" s="2" t="s">
        <v>40</v>
      </c>
      <c r="T342" s="3" t="s">
        <v>1545</v>
      </c>
      <c r="U342" s="2" t="s">
        <v>1524</v>
      </c>
      <c r="V342" s="2" t="s">
        <v>43</v>
      </c>
      <c r="Y342" s="2" t="str">
        <f>VLOOKUP(C342,[1]Cat_Objetos!$C$4:$C$346,1,FALSE)</f>
        <v>Datos recabados en la encuesta de opinión</v>
      </c>
    </row>
    <row r="343" spans="1:25" x14ac:dyDescent="0.4">
      <c r="A343" s="4">
        <f t="shared" si="5"/>
        <v>340</v>
      </c>
      <c r="B343" s="12">
        <v>0.42000000000000021</v>
      </c>
      <c r="C343" s="3" t="s">
        <v>1597</v>
      </c>
      <c r="D343" s="8"/>
      <c r="E343" s="2" t="s">
        <v>1442</v>
      </c>
      <c r="F343" s="3" t="s">
        <v>1443</v>
      </c>
      <c r="G343" s="2">
        <v>7.3</v>
      </c>
      <c r="H343" s="3" t="s">
        <v>1474</v>
      </c>
      <c r="I343" s="2" t="s">
        <v>1592</v>
      </c>
      <c r="J343" s="3" t="s">
        <v>1593</v>
      </c>
      <c r="K343" s="2" t="s">
        <v>1594</v>
      </c>
      <c r="L343" s="3" t="s">
        <v>1595</v>
      </c>
      <c r="N343" s="4" t="s">
        <v>38</v>
      </c>
      <c r="O343" s="4" t="s">
        <v>38</v>
      </c>
      <c r="Q343" s="4" t="s">
        <v>38</v>
      </c>
      <c r="R343" s="2" t="s">
        <v>1596</v>
      </c>
      <c r="S343" s="2" t="s">
        <v>40</v>
      </c>
      <c r="T343" s="3" t="s">
        <v>76</v>
      </c>
      <c r="U343" s="2" t="s">
        <v>1524</v>
      </c>
      <c r="V343" s="2" t="s">
        <v>43</v>
      </c>
      <c r="Y343" s="2" t="str">
        <f>VLOOKUP(C343,[1]Cat_Objetos!$C$4:$C$346,1,FALSE)</f>
        <v>Informe de resultados en la encuesta de opinión</v>
      </c>
    </row>
    <row r="344" spans="1:25" ht="29.15" x14ac:dyDescent="0.4">
      <c r="A344" s="4">
        <f t="shared" si="5"/>
        <v>341</v>
      </c>
      <c r="B344" s="12">
        <v>0.43000000000000022</v>
      </c>
      <c r="C344" s="3" t="s">
        <v>1598</v>
      </c>
      <c r="E344" s="2" t="s">
        <v>1442</v>
      </c>
      <c r="F344" s="3" t="s">
        <v>1443</v>
      </c>
      <c r="G344" s="2">
        <v>7.4</v>
      </c>
      <c r="H344" s="3" t="s">
        <v>1486</v>
      </c>
      <c r="I344" s="2" t="s">
        <v>1487</v>
      </c>
      <c r="J344" s="3" t="s">
        <v>1488</v>
      </c>
      <c r="K344" s="2" t="s">
        <v>1489</v>
      </c>
      <c r="L344" s="3" t="s">
        <v>1490</v>
      </c>
      <c r="N344" s="4" t="s">
        <v>38</v>
      </c>
      <c r="O344" s="4" t="s">
        <v>38</v>
      </c>
      <c r="Q344" s="4" t="s">
        <v>38</v>
      </c>
      <c r="R344" s="2" t="s">
        <v>1491</v>
      </c>
      <c r="S344" s="2" t="s">
        <v>40</v>
      </c>
      <c r="T344" s="3" t="s">
        <v>1523</v>
      </c>
      <c r="U344" s="2" t="s">
        <v>1524</v>
      </c>
      <c r="V344" s="2" t="s">
        <v>43</v>
      </c>
      <c r="Y344" s="2" t="str">
        <f>VLOOKUP(C344,[1]Cat_Objetos!$C$4:$C$346,1,FALSE)</f>
        <v>Solicitudes de personas usuarias de la información</v>
      </c>
    </row>
    <row r="345" spans="1:25" x14ac:dyDescent="0.4">
      <c r="A345" s="4">
        <f t="shared" si="5"/>
        <v>342</v>
      </c>
      <c r="B345" s="16">
        <v>0.44000000000000022</v>
      </c>
      <c r="C345" s="3" t="s">
        <v>1599</v>
      </c>
      <c r="E345" s="2" t="s">
        <v>1494</v>
      </c>
      <c r="F345" s="3" t="s">
        <v>1495</v>
      </c>
      <c r="G345" s="2">
        <v>8.1</v>
      </c>
      <c r="H345" s="3" t="s">
        <v>1496</v>
      </c>
      <c r="I345" s="2" t="s">
        <v>1497</v>
      </c>
      <c r="J345" s="3" t="s">
        <v>1498</v>
      </c>
      <c r="K345" s="2" t="s">
        <v>1499</v>
      </c>
      <c r="L345" s="3" t="s">
        <v>1500</v>
      </c>
      <c r="N345" s="4" t="s">
        <v>38</v>
      </c>
      <c r="O345" s="4" t="s">
        <v>38</v>
      </c>
      <c r="Q345" s="4" t="s">
        <v>38</v>
      </c>
      <c r="R345" s="2" t="s">
        <v>1491</v>
      </c>
      <c r="S345" s="2" t="s">
        <v>40</v>
      </c>
      <c r="T345" s="3" t="s">
        <v>76</v>
      </c>
      <c r="U345" s="2" t="s">
        <v>1524</v>
      </c>
      <c r="V345" s="2" t="s">
        <v>43</v>
      </c>
      <c r="Y345" s="2" t="str">
        <f>VLOOKUP(C345,[1]Cat_Objetos!$C$4:$C$346,1,FALSE)</f>
        <v>Retroalimentación de personas usuarias</v>
      </c>
    </row>
    <row r="346" spans="1:25" ht="29.15" x14ac:dyDescent="0.4">
      <c r="A346" s="4">
        <f>A345+1</f>
        <v>343</v>
      </c>
      <c r="B346" s="18">
        <v>0.46</v>
      </c>
      <c r="C346" s="19" t="s">
        <v>1600</v>
      </c>
      <c r="D346" s="2" t="s">
        <v>1601</v>
      </c>
      <c r="E346" s="2" t="s">
        <v>186</v>
      </c>
      <c r="F346" s="3" t="s">
        <v>187</v>
      </c>
      <c r="G346" s="2" t="s">
        <v>188</v>
      </c>
      <c r="H346" s="3" t="s">
        <v>189</v>
      </c>
      <c r="I346" s="2" t="s">
        <v>235</v>
      </c>
      <c r="J346" s="3" t="s">
        <v>236</v>
      </c>
      <c r="K346" s="2" t="s">
        <v>243</v>
      </c>
      <c r="L346" s="3" t="s">
        <v>244</v>
      </c>
      <c r="N346" s="4" t="s">
        <v>38</v>
      </c>
      <c r="O346" s="4" t="s">
        <v>38</v>
      </c>
      <c r="Q346" s="4" t="s">
        <v>38</v>
      </c>
      <c r="R346" s="2" t="s">
        <v>1602</v>
      </c>
      <c r="S346" s="2" t="s">
        <v>40</v>
      </c>
      <c r="T346" s="3" t="s">
        <v>1603</v>
      </c>
      <c r="U346" s="2" t="s">
        <v>1524</v>
      </c>
      <c r="V346" s="2" t="s">
        <v>1604</v>
      </c>
      <c r="Y346" s="2" t="str">
        <f>VLOOKUP(C346,[1]Cat_Objetos!$C$4:$C$346,1,FALSE)</f>
        <v>Banco de variables</v>
      </c>
    </row>
    <row r="349" spans="1:25" x14ac:dyDescent="0.4">
      <c r="B349" s="2" t="s">
        <v>1605</v>
      </c>
    </row>
    <row r="350" spans="1:25" x14ac:dyDescent="0.4">
      <c r="B350" s="20" t="s">
        <v>410</v>
      </c>
      <c r="C350" s="20" t="s">
        <v>1606</v>
      </c>
    </row>
  </sheetData>
  <autoFilter ref="A3:AI346" xr:uid="{3E9BAAE7-19A8-4AD4-8E03-2CCEC133C80F}"/>
  <mergeCells count="12">
    <mergeCell ref="W2:W3"/>
    <mergeCell ref="A2:A3"/>
    <mergeCell ref="B2:B3"/>
    <mergeCell ref="C2:C3"/>
    <mergeCell ref="D2:D3"/>
    <mergeCell ref="E2:L2"/>
    <mergeCell ref="M2:Q2"/>
    <mergeCell ref="R2:R3"/>
    <mergeCell ref="S2:S3"/>
    <mergeCell ref="T2:T3"/>
    <mergeCell ref="U2:U3"/>
    <mergeCell ref="V2:V3"/>
  </mergeCells>
  <hyperlinks>
    <hyperlink ref="B346" r:id="rId1" location="P0.46!A1" display="Plantillas_DiseñoConceptual_GDCE_18mar2026.xlsx - P0.46!A1" xr:uid="{16028054-AE76-4CD2-B0E2-3F33B8DF95C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355013D4F5B7841B82A9094EA6E91B7" ma:contentTypeVersion="18" ma:contentTypeDescription="Crear nuevo documento." ma:contentTypeScope="" ma:versionID="eaf8d8ad9cb7aa871848ff28b9abf3f5">
  <xsd:schema xmlns:xsd="http://www.w3.org/2001/XMLSchema" xmlns:xs="http://www.w3.org/2001/XMLSchema" xmlns:p="http://schemas.microsoft.com/office/2006/metadata/properties" xmlns:ns2="2cf6ad0d-2af8-40e6-b30a-97e8352d3afd" xmlns:ns3="bcc1e82b-ca09-43ad-88a8-c1c64ce950e8" targetNamespace="http://schemas.microsoft.com/office/2006/metadata/properties" ma:root="true" ma:fieldsID="937d28e42389882d5ab3ec1640a8ffd6" ns2:_="" ns3:_="">
    <xsd:import namespace="2cf6ad0d-2af8-40e6-b30a-97e8352d3afd"/>
    <xsd:import namespace="bcc1e82b-ca09-43ad-88a8-c1c64ce950e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f6ad0d-2af8-40e6-b30a-97e8352d3a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63da1ee4-79ed-44ce-b71c-8702bcfbfa5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_Flow_SignoffStatus" ma:index="25" nillable="true" ma:displayName="Estado de aprobación"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c1e82b-ca09-43ad-88a8-c1c64ce950e8"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cd888bc4-699d-4448-8ea2-d7a4b7fda0d3}" ma:internalName="TaxCatchAll" ma:showField="CatchAllData" ma:web="bcc1e82b-ca09-43ad-88a8-c1c64ce950e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2cf6ad0d-2af8-40e6-b30a-97e8352d3afd" xsi:nil="true"/>
    <lcf76f155ced4ddcb4097134ff3c332f xmlns="2cf6ad0d-2af8-40e6-b30a-97e8352d3afd">
      <Terms xmlns="http://schemas.microsoft.com/office/infopath/2007/PartnerControls"/>
    </lcf76f155ced4ddcb4097134ff3c332f>
    <TaxCatchAll xmlns="bcc1e82b-ca09-43ad-88a8-c1c64ce950e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F18119-E4BD-4A9F-B736-EDDB2E9E65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f6ad0d-2af8-40e6-b30a-97e8352d3afd"/>
    <ds:schemaRef ds:uri="bcc1e82b-ca09-43ad-88a8-c1c64ce950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4587E9D-F127-47AB-ACF2-9A529AD461F9}">
  <ds:schemaRefs>
    <ds:schemaRef ds:uri="http://schemas.microsoft.com/office/2006/metadata/properties"/>
    <ds:schemaRef ds:uri="http://schemas.microsoft.com/office/infopath/2007/PartnerControls"/>
    <ds:schemaRef ds:uri="2cf6ad0d-2af8-40e6-b30a-97e8352d3afd"/>
    <ds:schemaRef ds:uri="bcc1e82b-ca09-43ad-88a8-c1c64ce950e8"/>
  </ds:schemaRefs>
</ds:datastoreItem>
</file>

<file path=customXml/itemProps3.xml><?xml version="1.0" encoding="utf-8"?>
<ds:datastoreItem xmlns:ds="http://schemas.openxmlformats.org/officeDocument/2006/customXml" ds:itemID="{E9845C57-EE38-45E3-A064-2B2C6E6AC1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Cat_Objetos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HERNANDEZ MARQUEZ LUZ MANUELA</dc:creator>
  <cp:lastModifiedBy>MEJIA GONZALEZ RAUL</cp:lastModifiedBy>
  <dcterms:created xsi:type="dcterms:W3CDTF">2026-08-07T19:25:24Z</dcterms:created>
  <dcterms:modified xsi:type="dcterms:W3CDTF">2026-10-13T16:49:30Z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0x0101006355013D4F5B7841B82A9094EA6E91B7</vt:lpwstr>
  </property>
  <property fmtid="{D5CDD505-2E9C-101B-9397-08002B2CF9AE}" pid="3" name="MediaServiceImageTags">
    <vt:lpwstr/>
  </property>
</Properties>
</file>